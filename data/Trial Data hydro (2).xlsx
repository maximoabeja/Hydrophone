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Downloads\"/>
    </mc:Choice>
  </mc:AlternateContent>
  <xr:revisionPtr revIDLastSave="0" documentId="8_{260DDC82-DEC3-4D41-9F50-658D75F69DFB}" xr6:coauthVersionLast="47" xr6:coauthVersionMax="47" xr10:uidLastSave="{00000000-0000-0000-0000-000000000000}"/>
  <bookViews>
    <workbookView xWindow="-120" yWindow="-120" windowWidth="38640" windowHeight="21120" xr2:uid="{C252BB0C-4B11-450D-A413-A5FC8EDA09E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9" i="1" l="1"/>
  <c r="AT27" i="1"/>
  <c r="AT20" i="1"/>
  <c r="AT21" i="1"/>
  <c r="AT22" i="1"/>
  <c r="AT23" i="1"/>
  <c r="AT24" i="1"/>
  <c r="AT25" i="1"/>
  <c r="AT26" i="1"/>
  <c r="AT28" i="1"/>
  <c r="AT19" i="1"/>
  <c r="Z78" i="1"/>
  <c r="Z79" i="1"/>
  <c r="Z80" i="1"/>
  <c r="Z81" i="1"/>
  <c r="Z82" i="1"/>
  <c r="Z83" i="1"/>
  <c r="Z84" i="1"/>
  <c r="Z85" i="1"/>
  <c r="Z86" i="1"/>
  <c r="Z77" i="1"/>
  <c r="Z56" i="1"/>
  <c r="Z57" i="1"/>
  <c r="Z58" i="1"/>
  <c r="Z59" i="1"/>
  <c r="Z60" i="1"/>
  <c r="Z61" i="1"/>
  <c r="Z62" i="1"/>
  <c r="Z63" i="1"/>
  <c r="Z64" i="1"/>
  <c r="Z6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X14" i="1"/>
  <c r="AC15" i="1" s="1"/>
  <c r="X21" i="1"/>
  <c r="AC22" i="1" s="1"/>
  <c r="X20" i="1"/>
  <c r="AC21" i="1" s="1"/>
  <c r="X19" i="1"/>
  <c r="AC20" i="1" s="1"/>
  <c r="X18" i="1"/>
  <c r="AC19" i="1" s="1"/>
  <c r="X16" i="1"/>
  <c r="AC17" i="1" s="1"/>
  <c r="X17" i="1"/>
  <c r="AC18" i="1" s="1"/>
  <c r="X15" i="1"/>
  <c r="AC16" i="1" s="1"/>
  <c r="X13" i="1"/>
  <c r="AC14" i="1" s="1"/>
  <c r="W21" i="1"/>
  <c r="Z74" i="1" s="1"/>
  <c r="W20" i="1"/>
  <c r="Z94" i="1" s="1"/>
  <c r="W13" i="1"/>
  <c r="Z66" i="1" s="1"/>
  <c r="W14" i="1"/>
  <c r="Z88" i="1" s="1"/>
  <c r="W16" i="1"/>
  <c r="Z90" i="1" s="1"/>
  <c r="W15" i="1"/>
  <c r="Z89" i="1" s="1"/>
  <c r="W17" i="1"/>
  <c r="Z91" i="1" s="1"/>
  <c r="W18" i="1"/>
  <c r="Z92" i="1" s="1"/>
  <c r="W19" i="1"/>
  <c r="Z93" i="1" s="1"/>
  <c r="Z73" i="1" l="1"/>
  <c r="Z72" i="1"/>
  <c r="Z71" i="1"/>
  <c r="Z70" i="1"/>
  <c r="Z69" i="1"/>
  <c r="Z68" i="1"/>
  <c r="Z67" i="1"/>
  <c r="Z87" i="1"/>
  <c r="Z95" i="1"/>
</calcChain>
</file>

<file path=xl/sharedStrings.xml><?xml version="1.0" encoding="utf-8"?>
<sst xmlns="http://schemas.openxmlformats.org/spreadsheetml/2006/main" count="78" uniqueCount="49">
  <si>
    <t>Trial 1</t>
  </si>
  <si>
    <t>time (s)</t>
  </si>
  <si>
    <t>position (cm)</t>
  </si>
  <si>
    <t>Trial 2</t>
  </si>
  <si>
    <t>Trial 3</t>
  </si>
  <si>
    <t>Trial 4</t>
  </si>
  <si>
    <t>Trial 5</t>
  </si>
  <si>
    <t>time(s)</t>
  </si>
  <si>
    <t>1.80=t0</t>
  </si>
  <si>
    <t>t0 =4.95</t>
  </si>
  <si>
    <t>t0 =3.00</t>
  </si>
  <si>
    <t>2.50=t0</t>
  </si>
  <si>
    <t>t0 =2.45</t>
  </si>
  <si>
    <t>Avg Pos</t>
  </si>
  <si>
    <t>STDEV Pos</t>
  </si>
  <si>
    <t>Time After Actuation (s)</t>
  </si>
  <si>
    <t>Position STDEV (cm)</t>
  </si>
  <si>
    <t>&lt;Projectile Position (cm)&gt;</t>
  </si>
  <si>
    <t>time</t>
  </si>
  <si>
    <t>position</t>
  </si>
  <si>
    <t>I</t>
  </si>
  <si>
    <t>L</t>
  </si>
  <si>
    <t>Variable</t>
  </si>
  <si>
    <t>Value</t>
  </si>
  <si>
    <t>Unit</t>
  </si>
  <si>
    <t>B (eff)</t>
  </si>
  <si>
    <t>m</t>
  </si>
  <si>
    <t>Kilogram</t>
  </si>
  <si>
    <t>Meter</t>
  </si>
  <si>
    <t>Amp</t>
  </si>
  <si>
    <t>Tesla</t>
  </si>
  <si>
    <t>F (avg)</t>
  </si>
  <si>
    <t>Newton</t>
  </si>
  <si>
    <t>N/A</t>
  </si>
  <si>
    <t>Position 95 CI (cm)</t>
  </si>
  <si>
    <t>Formatting 95 CI cells:</t>
  </si>
  <si>
    <t>Avg Speed (m/s):</t>
  </si>
  <si>
    <t>avg time (s):</t>
  </si>
  <si>
    <t>Travel Time (s)</t>
  </si>
  <si>
    <t>Test Distance (m)</t>
  </si>
  <si>
    <t>Strike Number</t>
  </si>
  <si>
    <t>STDEV (+-) speed (m/s)</t>
  </si>
  <si>
    <t>95 CI speed (m/s) (+-)</t>
  </si>
  <si>
    <t>95 CI time (m/s) (+-)(s)</t>
  </si>
  <si>
    <t>Time of Strike (s)</t>
  </si>
  <si>
    <t>Time of First Waveform appearance (s)</t>
  </si>
  <si>
    <t>CalculatedSpeed m/s</t>
  </si>
  <si>
    <t>STDEV     (+-)  T.Time (s)</t>
  </si>
  <si>
    <t>Avg T. Time time (s):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</si>
</sst>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2" fontId="2" fillId="2" borderId="2" xfId="0" applyNumberFormat="1" applyFont="1" applyFill="1" applyBorder="1"/>
    <xf numFmtId="2" fontId="2" fillId="2" borderId="3" xfId="0" applyNumberFormat="1" applyFont="1" applyFill="1" applyBorder="1"/>
    <xf numFmtId="2" fontId="1" fillId="2" borderId="2" xfId="0" applyNumberFormat="1" applyFont="1" applyFill="1" applyBorder="1"/>
    <xf numFmtId="2" fontId="1" fillId="2" borderId="3" xfId="0" applyNumberFormat="1" applyFont="1" applyFill="1" applyBorder="1"/>
    <xf numFmtId="2" fontId="1" fillId="2" borderId="4" xfId="0" applyNumberFormat="1" applyFont="1" applyFill="1" applyBorder="1"/>
    <xf numFmtId="2" fontId="1" fillId="2" borderId="1" xfId="0" applyNumberFormat="1" applyFont="1" applyFill="1" applyBorder="1"/>
    <xf numFmtId="2" fontId="1" fillId="2" borderId="0" xfId="0" applyNumberFormat="1" applyFont="1" applyFill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1" xfId="0" applyFont="1" applyFill="1" applyBorder="1"/>
    <xf numFmtId="9" fontId="0" fillId="0" borderId="0" xfId="0" applyNumberFormat="1"/>
    <xf numFmtId="2" fontId="0" fillId="0" borderId="0" xfId="0" applyNumberFormat="1"/>
    <xf numFmtId="0" fontId="3" fillId="0" borderId="5" xfId="0" applyFont="1" applyBorder="1" applyAlignment="1">
      <alignment horizontal="right" wrapText="1"/>
    </xf>
    <xf numFmtId="164" fontId="3" fillId="0" borderId="5" xfId="0" applyNumberFormat="1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4" fillId="2" borderId="0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  <xf numFmtId="164" fontId="4" fillId="2" borderId="7" xfId="0" applyNumberFormat="1" applyFont="1" applyFill="1" applyBorder="1" applyAlignment="1">
      <alignment horizontal="right" wrapText="1"/>
    </xf>
    <xf numFmtId="1" fontId="4" fillId="2" borderId="7" xfId="0" applyNumberFormat="1" applyFont="1" applyFill="1" applyBorder="1" applyAlignment="1">
      <alignment horizontal="right" wrapText="1"/>
    </xf>
    <xf numFmtId="0" fontId="5" fillId="2" borderId="0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164" fontId="4" fillId="2" borderId="1" xfId="0" applyNumberFormat="1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right" wrapText="1"/>
    </xf>
    <xf numFmtId="1" fontId="4" fillId="2" borderId="9" xfId="0" applyNumberFormat="1" applyFont="1" applyFill="1" applyBorder="1" applyAlignment="1">
      <alignment horizontal="right" wrapText="1"/>
    </xf>
    <xf numFmtId="0" fontId="4" fillId="2" borderId="10" xfId="0" applyFont="1" applyFill="1" applyBorder="1" applyAlignment="1">
      <alignment wrapText="1"/>
    </xf>
    <xf numFmtId="0" fontId="4" fillId="2" borderId="11" xfId="0" applyFont="1" applyFill="1" applyBorder="1" applyAlignment="1">
      <alignment horizontal="right" wrapText="1"/>
    </xf>
    <xf numFmtId="164" fontId="4" fillId="2" borderId="11" xfId="0" applyNumberFormat="1" applyFont="1" applyFill="1" applyBorder="1" applyAlignment="1">
      <alignment horizontal="right" wrapText="1"/>
    </xf>
    <xf numFmtId="1" fontId="4" fillId="2" borderId="12" xfId="0" applyNumberFormat="1" applyFont="1" applyFill="1" applyBorder="1" applyAlignment="1">
      <alignment horizontal="right" wrapText="1"/>
    </xf>
    <xf numFmtId="0" fontId="4" fillId="2" borderId="13" xfId="0" applyFont="1" applyFill="1" applyBorder="1" applyAlignment="1">
      <alignment wrapText="1"/>
    </xf>
    <xf numFmtId="0" fontId="4" fillId="2" borderId="14" xfId="0" applyFont="1" applyFill="1" applyBorder="1" applyAlignment="1">
      <alignment horizontal="right" wrapText="1"/>
    </xf>
    <xf numFmtId="164" fontId="4" fillId="2" borderId="14" xfId="0" applyNumberFormat="1" applyFont="1" applyFill="1" applyBorder="1" applyAlignment="1">
      <alignment horizontal="right" wrapText="1"/>
    </xf>
    <xf numFmtId="0" fontId="4" fillId="2" borderId="15" xfId="0" applyFont="1" applyFill="1" applyBorder="1" applyAlignment="1">
      <alignment horizontal="right" wrapText="1"/>
    </xf>
    <xf numFmtId="0" fontId="5" fillId="2" borderId="16" xfId="0" applyFont="1" applyFill="1" applyBorder="1" applyAlignment="1">
      <alignment wrapText="1"/>
    </xf>
  </cellXfs>
  <cellStyles count="1">
    <cellStyle name="Normal" xfId="0" builtinId="0"/>
  </cellStyles>
  <dxfs count="7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medium">
          <color theme="1"/>
        </top>
      </border>
    </dxf>
    <dxf>
      <font>
        <b/>
        <color theme="1"/>
      </font>
    </dxf>
    <dxf>
      <font>
        <b val="0"/>
        <i val="0"/>
        <strike val="0"/>
        <color theme="1"/>
      </font>
      <fill>
        <patternFill patternType="solid">
          <fgColor theme="0"/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StyleLight16">
    <tableStyle name="TableStyleMedium22 2" pivot="0" count="7" xr9:uid="{518BDDAE-16C4-4738-8B11-D35C811CE148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Projectile Position (cm) vs Time After Switch Actuated (s)</a:t>
            </a:r>
            <a:endParaRPr lang="en-US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 </c:f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Sheet1!$V$3:$V$12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</c:numCache>
            </c:numRef>
          </c:xVal>
          <c:yVal>
            <c:numRef>
              <c:f>Sheet1!$W$3:$W$12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B-4E94-9DE8-ABB1047AAE33}"/>
            </c:ext>
          </c:extLst>
        </c:ser>
        <c:ser>
          <c:idx val="1"/>
          <c:order val="1"/>
          <c:tx>
            <c:v>avg pos no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0046579421839569E-2"/>
                  <c:y val="-3.346774082261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45B-4E94-9DE8-ABB1047AAE33}"/>
                </c:ext>
              </c:extLst>
            </c:dLbl>
            <c:dLbl>
              <c:idx val="1"/>
              <c:layout>
                <c:manualLayout>
                  <c:x val="-3.9741783065760414E-2"/>
                  <c:y val="-3.31172325856744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A498224E-C13C-448E-8282-B79ED8D742CC}" type="YVALUE">
                      <a:rPr lang="en-US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 sz="1100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[Y VALUE]</a:t>
                    </a:fld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401331931300385E-2"/>
                      <c:h val="3.188465795087917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D45-446A-A573-C2EE75473CB0}"/>
                </c:ext>
              </c:extLst>
            </c:dLbl>
            <c:dLbl>
              <c:idx val="2"/>
              <c:layout>
                <c:manualLayout>
                  <c:x val="-4.0568540919766735E-2"/>
                  <c:y val="-3.7790675744922002E-2"/>
                </c:manualLayout>
              </c:layout>
              <c:tx>
                <c:rich>
                  <a:bodyPr/>
                  <a:lstStyle/>
                  <a:p>
                    <a:fld id="{AA376EE1-EB5E-4D2B-A1DC-C5A838C489EF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D45-446A-A573-C2EE75473CB0}"/>
                </c:ext>
              </c:extLst>
            </c:dLbl>
            <c:dLbl>
              <c:idx val="3"/>
              <c:layout>
                <c:manualLayout>
                  <c:x val="-4.9321973554567508E-2"/>
                  <c:y val="-3.0780511006050552E-2"/>
                </c:manualLayout>
              </c:layout>
              <c:tx>
                <c:rich>
                  <a:bodyPr/>
                  <a:lstStyle/>
                  <a:p>
                    <a:fld id="{65FB8E78-4EBA-4FDF-9B0A-057B9128E284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D45-446A-A573-C2EE75473CB0}"/>
                </c:ext>
              </c:extLst>
            </c:dLbl>
            <c:dLbl>
              <c:idx val="4"/>
              <c:layout>
                <c:manualLayout>
                  <c:x val="-4.3041760261452316E-2"/>
                  <c:y val="-1.9096903107931697E-2"/>
                </c:manualLayout>
              </c:layout>
              <c:tx>
                <c:rich>
                  <a:bodyPr/>
                  <a:lstStyle/>
                  <a:p>
                    <a:fld id="{660F7143-2E4F-4473-A402-D7E9B439BB7E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D45-446A-A573-C2EE75473CB0}"/>
                </c:ext>
              </c:extLst>
            </c:dLbl>
            <c:dLbl>
              <c:idx val="5"/>
              <c:layout>
                <c:manualLayout>
                  <c:x val="-4.7247847962222388E-2"/>
                  <c:y val="-2.1433624687555487E-2"/>
                </c:manualLayout>
              </c:layout>
              <c:tx>
                <c:rich>
                  <a:bodyPr/>
                  <a:lstStyle/>
                  <a:p>
                    <a:fld id="{AE936EFF-0F83-4B41-95F1-7C455B1A04A7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D45-446A-A573-C2EE75473CB0}"/>
                </c:ext>
              </c:extLst>
            </c:dLbl>
            <c:dLbl>
              <c:idx val="6"/>
              <c:layout>
                <c:manualLayout>
                  <c:x val="-4.7258090540214827E-2"/>
                  <c:y val="-1.2086738369060421E-2"/>
                </c:manualLayout>
              </c:layout>
              <c:tx>
                <c:rich>
                  <a:bodyPr/>
                  <a:lstStyle/>
                  <a:p>
                    <a:fld id="{7B7C8841-1A8F-4BFC-9C9C-735DBE372223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D45-446A-A573-C2EE75473CB0}"/>
                </c:ext>
              </c:extLst>
            </c:dLbl>
            <c:dLbl>
              <c:idx val="7"/>
              <c:layout>
                <c:manualLayout>
                  <c:x val="-4.7258090540214827E-2"/>
                  <c:y val="-1.2086738369060334E-2"/>
                </c:manualLayout>
              </c:layout>
              <c:tx>
                <c:rich>
                  <a:bodyPr/>
                  <a:lstStyle/>
                  <a:p>
                    <a:fld id="{E91B1A30-9AB1-4F7B-A55E-532EE8D6519E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D45-446A-A573-C2EE75473CB0}"/>
                </c:ext>
              </c:extLst>
            </c:dLbl>
            <c:dLbl>
              <c:idx val="8"/>
              <c:layout>
                <c:manualLayout>
                  <c:x val="-5.3231216760365525E-2"/>
                  <c:y val="-1.2086738369060377E-2"/>
                </c:manualLayout>
              </c:layout>
              <c:tx>
                <c:rich>
                  <a:bodyPr/>
                  <a:lstStyle/>
                  <a:p>
                    <a:fld id="{E66C2C4A-FD71-448B-8267-D8B417661D6A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D45-446A-A573-C2EE75473CB0}"/>
                </c:ext>
              </c:extLst>
            </c:dLbl>
            <c:dLbl>
              <c:idx val="9"/>
              <c:layout>
                <c:manualLayout>
                  <c:x val="-5.4633249708139792E-2"/>
                  <c:y val="-1.676018152830791E-2"/>
                </c:manualLayout>
              </c:layout>
              <c:tx>
                <c:rich>
                  <a:bodyPr/>
                  <a:lstStyle/>
                  <a:p>
                    <a:fld id="{7D54130A-CE23-48CA-AD5F-D9C77CD5A626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AA91-4018-B49E-070E62683E00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2700" cap="rnd">
                <a:solidFill>
                  <a:schemeClr val="tx1"/>
                </a:solidFill>
                <a:prstDash val="sysDash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4856360620537573E-2"/>
                  <c:y val="0.484742404044920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Sheet1!$AO$54:$AO$63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0.18696864782181138</c:v>
                  </c:pt>
                  <c:pt idx="2">
                    <c:v>0.32653258800185025</c:v>
                  </c:pt>
                  <c:pt idx="3">
                    <c:v>0.48505049936293482</c:v>
                  </c:pt>
                  <c:pt idx="4">
                    <c:v>0.61996235437785152</c:v>
                  </c:pt>
                  <c:pt idx="5">
                    <c:v>0.68546640632082323</c:v>
                  </c:pt>
                  <c:pt idx="6">
                    <c:v>0.77135477628781945</c:v>
                  </c:pt>
                  <c:pt idx="7">
                    <c:v>0.85330718596955624</c:v>
                  </c:pt>
                  <c:pt idx="8">
                    <c:v>0.95234083275400949</c:v>
                  </c:pt>
                  <c:pt idx="9">
                    <c:v>0.99634051539044299</c:v>
                  </c:pt>
                </c:numCache>
              </c:numRef>
            </c:plus>
            <c:minus>
              <c:numRef>
                <c:f>Sheet1!$AO$54:$AO$63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0.18696864782181138</c:v>
                  </c:pt>
                  <c:pt idx="2">
                    <c:v>0.32653258800185025</c:v>
                  </c:pt>
                  <c:pt idx="3">
                    <c:v>0.48505049936293482</c:v>
                  </c:pt>
                  <c:pt idx="4">
                    <c:v>0.61996235437785152</c:v>
                  </c:pt>
                  <c:pt idx="5">
                    <c:v>0.68546640632082323</c:v>
                  </c:pt>
                  <c:pt idx="6">
                    <c:v>0.77135477628781945</c:v>
                  </c:pt>
                  <c:pt idx="7">
                    <c:v>0.85330718596955624</c:v>
                  </c:pt>
                  <c:pt idx="8">
                    <c:v>0.95234083275400949</c:v>
                  </c:pt>
                  <c:pt idx="9">
                    <c:v>0.99634051539044299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Sheet1!$V$12:$V$21</c:f>
              <c:numCache>
                <c:formatCode>General</c:formatCode>
                <c:ptCount val="10"/>
                <c:pt idx="0">
                  <c:v>0.45</c:v>
                </c:pt>
                <c:pt idx="1">
                  <c:v>0.5</c:v>
                </c:pt>
                <c:pt idx="2">
                  <c:v>0.55000000000000004</c:v>
                </c:pt>
                <c:pt idx="3">
                  <c:v>0.6</c:v>
                </c:pt>
                <c:pt idx="4">
                  <c:v>0.65</c:v>
                </c:pt>
                <c:pt idx="5">
                  <c:v>0.7</c:v>
                </c:pt>
                <c:pt idx="6">
                  <c:v>0.75</c:v>
                </c:pt>
                <c:pt idx="7">
                  <c:v>0.8</c:v>
                </c:pt>
                <c:pt idx="8">
                  <c:v>0.85</c:v>
                </c:pt>
                <c:pt idx="9">
                  <c:v>0.9</c:v>
                </c:pt>
              </c:numCache>
            </c:numRef>
          </c:xVal>
          <c:yVal>
            <c:numRef>
              <c:f>Sheet1!$W$12:$W$21</c:f>
              <c:numCache>
                <c:formatCode>General</c:formatCode>
                <c:ptCount val="10"/>
                <c:pt idx="0">
                  <c:v>0</c:v>
                </c:pt>
                <c:pt idx="1">
                  <c:v>0.21000000000000002</c:v>
                </c:pt>
                <c:pt idx="2">
                  <c:v>0.6825</c:v>
                </c:pt>
                <c:pt idx="3">
                  <c:v>1.5</c:v>
                </c:pt>
                <c:pt idx="4">
                  <c:v>3.0520000000000005</c:v>
                </c:pt>
                <c:pt idx="5">
                  <c:v>4.5919999999999996</c:v>
                </c:pt>
                <c:pt idx="6">
                  <c:v>6.3439999999999994</c:v>
                </c:pt>
                <c:pt idx="7">
                  <c:v>8.1860000000000017</c:v>
                </c:pt>
                <c:pt idx="8">
                  <c:v>10.233999999999998</c:v>
                </c:pt>
                <c:pt idx="9">
                  <c:v>12.346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45B-4E94-9DE8-ABB1047AAE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14551440"/>
        <c:axId val="1214550000"/>
      </c:scatterChart>
      <c:valAx>
        <c:axId val="1214551440"/>
        <c:scaling>
          <c:orientation val="minMax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  <a:alpha val="7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After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Actuation (s)</a:t>
                </a:r>
                <a:endParaRPr lang="en-US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0000"/>
        <c:crosses val="autoZero"/>
        <c:crossBetween val="midCat"/>
        <c:majorUnit val="5.000000000000001E-2"/>
        <c:minorUnit val="2.0000000000000004E-2"/>
      </c:valAx>
      <c:valAx>
        <c:axId val="1214550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Projectile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Position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14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Projectile Position (cm) vs Time After Initial Projectile Motion (s)</a:t>
            </a:r>
            <a:endParaRPr lang="en-US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avg pos t=0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0285906491759166E-2"/>
                  <c:y val="-3.62017050707778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AFE-4012-AF60-86A9E3EE0116}"/>
                </c:ext>
              </c:extLst>
            </c:dLbl>
            <c:dLbl>
              <c:idx val="2"/>
              <c:layout>
                <c:manualLayout>
                  <c:x val="-5.1220988900100933E-2"/>
                  <c:y val="-3.1528261911530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AFE-4012-AF60-86A9E3EE0116}"/>
                </c:ext>
              </c:extLst>
            </c:dLbl>
            <c:dLbl>
              <c:idx val="3"/>
              <c:layout>
                <c:manualLayout>
                  <c:x val="-4.3363605785401951E-2"/>
                  <c:y val="-2.91915403319065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AFE-4012-AF60-86A9E3EE0116}"/>
                </c:ext>
              </c:extLst>
            </c:dLbl>
            <c:dLbl>
              <c:idx val="4"/>
              <c:layout>
                <c:manualLayout>
                  <c:x val="-4.5462495795492767E-2"/>
                  <c:y val="-2.21813755930350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AFE-4012-AF60-86A9E3EE0116}"/>
                </c:ext>
              </c:extLst>
            </c:dLbl>
            <c:dLbl>
              <c:idx val="5"/>
              <c:layout>
                <c:manualLayout>
                  <c:x val="-4.8153380423814326E-2"/>
                  <c:y val="-3.1528261911530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AFE-4012-AF60-86A9E3EE0116}"/>
                </c:ext>
              </c:extLst>
            </c:dLbl>
            <c:dLbl>
              <c:idx val="6"/>
              <c:layout>
                <c:manualLayout>
                  <c:x val="-4.1426168853010426E-2"/>
                  <c:y val="-2.21813755930350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AFE-4012-AF60-86A9E3EE0116}"/>
                </c:ext>
              </c:extLst>
            </c:dLbl>
            <c:dLbl>
              <c:idx val="7"/>
              <c:layout>
                <c:manualLayout>
                  <c:x val="-4.4117053481331985E-2"/>
                  <c:y val="-2.21813755930350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AFE-4012-AF60-86A9E3EE0116}"/>
                </c:ext>
              </c:extLst>
            </c:dLbl>
            <c:dLbl>
              <c:idx val="8"/>
              <c:layout>
                <c:manualLayout>
                  <c:x val="-4.7184661957618668E-2"/>
                  <c:y val="-2.91915403319065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AFE-4012-AF60-86A9E3EE01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7392278538341133"/>
                  <c:y val="0.129560723942104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Sheet1!$AO$54:$AO$63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0.18696864782181138</c:v>
                  </c:pt>
                  <c:pt idx="2">
                    <c:v>0.32653258800185025</c:v>
                  </c:pt>
                  <c:pt idx="3">
                    <c:v>0.48505049936293482</c:v>
                  </c:pt>
                  <c:pt idx="4">
                    <c:v>0.61996235437785152</c:v>
                  </c:pt>
                  <c:pt idx="5">
                    <c:v>0.68546640632082323</c:v>
                  </c:pt>
                  <c:pt idx="6">
                    <c:v>0.77135477628781945</c:v>
                  </c:pt>
                  <c:pt idx="7">
                    <c:v>0.85330718596955624</c:v>
                  </c:pt>
                  <c:pt idx="8">
                    <c:v>0.95234083275400949</c:v>
                  </c:pt>
                  <c:pt idx="9">
                    <c:v>0.99634051539044299</c:v>
                  </c:pt>
                </c:numCache>
              </c:numRef>
            </c:plus>
            <c:minus>
              <c:numRef>
                <c:f>Sheet1!$AO$54:$AO$63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0.18696864782181138</c:v>
                  </c:pt>
                  <c:pt idx="2">
                    <c:v>0.32653258800185025</c:v>
                  </c:pt>
                  <c:pt idx="3">
                    <c:v>0.48505049936293482</c:v>
                  </c:pt>
                  <c:pt idx="4">
                    <c:v>0.61996235437785152</c:v>
                  </c:pt>
                  <c:pt idx="5">
                    <c:v>0.68546640632082323</c:v>
                  </c:pt>
                  <c:pt idx="6">
                    <c:v>0.77135477628781945</c:v>
                  </c:pt>
                  <c:pt idx="7">
                    <c:v>0.85330718596955624</c:v>
                  </c:pt>
                  <c:pt idx="8">
                    <c:v>0.95234083275400949</c:v>
                  </c:pt>
                  <c:pt idx="9">
                    <c:v>0.99634051539044299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Sheet1!$AF$3:$AF$12</c:f>
              <c:numCache>
                <c:formatCode>0.00</c:formatCode>
                <c:ptCount val="10"/>
                <c:pt idx="0">
                  <c:v>0</c:v>
                </c:pt>
                <c:pt idx="1">
                  <c:v>0.05</c:v>
                </c:pt>
                <c:pt idx="2" formatCode="General">
                  <c:v>0.1</c:v>
                </c:pt>
                <c:pt idx="3" formatCode="General">
                  <c:v>0.15</c:v>
                </c:pt>
                <c:pt idx="4" formatCode="General">
                  <c:v>0.2</c:v>
                </c:pt>
                <c:pt idx="5" formatCode="General">
                  <c:v>0.25</c:v>
                </c:pt>
                <c:pt idx="6">
                  <c:v>0.3</c:v>
                </c:pt>
                <c:pt idx="7" formatCode="General">
                  <c:v>0.35</c:v>
                </c:pt>
                <c:pt idx="8" formatCode="General">
                  <c:v>0.4</c:v>
                </c:pt>
                <c:pt idx="9" formatCode="General">
                  <c:v>0.45</c:v>
                </c:pt>
              </c:numCache>
            </c:numRef>
          </c:xVal>
          <c:yVal>
            <c:numRef>
              <c:f>Sheet1!$AG$3:$AG$12</c:f>
              <c:numCache>
                <c:formatCode>General</c:formatCode>
                <c:ptCount val="10"/>
                <c:pt idx="0" formatCode="0.00">
                  <c:v>0</c:v>
                </c:pt>
                <c:pt idx="1">
                  <c:v>0.21000000000000002</c:v>
                </c:pt>
                <c:pt idx="2">
                  <c:v>0.6825</c:v>
                </c:pt>
                <c:pt idx="3">
                  <c:v>1.5</c:v>
                </c:pt>
                <c:pt idx="4">
                  <c:v>3.0520000000000005</c:v>
                </c:pt>
                <c:pt idx="5">
                  <c:v>4.5919999999999996</c:v>
                </c:pt>
                <c:pt idx="6">
                  <c:v>6.3439999999999994</c:v>
                </c:pt>
                <c:pt idx="7">
                  <c:v>8.1860000000000017</c:v>
                </c:pt>
                <c:pt idx="8">
                  <c:v>10.233999999999998</c:v>
                </c:pt>
                <c:pt idx="9">
                  <c:v>12.346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FE-4012-AF60-86A9E3EE011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14551440"/>
        <c:axId val="12145500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Sheet1!$W$2</c15:sqref>
                        </c15:formulaRef>
                      </c:ext>
                    </c:extLst>
                    <c:strCache>
                      <c:ptCount val="1"/>
                      <c:pt idx="0">
                        <c:v>Avg Pos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/>
                    </a:solidFill>
                    <a:ln w="9525">
                      <a:solidFill>
                        <a:schemeClr val="tx1"/>
                      </a:solidFill>
                    </a:ln>
                    <a:effectLst/>
                  </c:spPr>
                </c:marker>
                <c:dLbls>
                  <c:delete val="1"/>
                </c:dLbls>
                <c:errBars>
                  <c:errDir val="y"/>
                  <c:errBarType val="both"/>
                  <c:errValType val="stdErr"/>
                  <c:noEndCap val="0"/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>
                      <c:ext uri="{02D57815-91ED-43cb-92C2-25804820EDAC}">
                        <c15:formulaRef>
                          <c15:sqref>Sheet1!$V$3:$V$12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0.1</c:v>
                      </c:pt>
                      <c:pt idx="3">
                        <c:v>0.15</c:v>
                      </c:pt>
                      <c:pt idx="4">
                        <c:v>0.2</c:v>
                      </c:pt>
                      <c:pt idx="5">
                        <c:v>0.25</c:v>
                      </c:pt>
                      <c:pt idx="6">
                        <c:v>0.3</c:v>
                      </c:pt>
                      <c:pt idx="7">
                        <c:v>0.35</c:v>
                      </c:pt>
                      <c:pt idx="8">
                        <c:v>0.4</c:v>
                      </c:pt>
                      <c:pt idx="9">
                        <c:v>0.45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Sheet1!$W$3:$W$12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AFE-4012-AF60-86A9E3EE011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avg pos no 0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/>
                    </a:solidFill>
                    <a:ln w="9525">
                      <a:solidFill>
                        <a:schemeClr val="tx1"/>
                      </a:solidFill>
                    </a:ln>
                    <a:effectLst/>
                  </c:spPr>
                </c:marker>
                <c:dLbls>
                  <c:dLbl>
                    <c:idx val="0"/>
                    <c:layout>
                      <c:manualLayout>
                        <c:x val="-3.9741783065760414E-2"/>
                        <c:y val="-3.3117232585674422E-2"/>
                      </c:manualLayout>
                    </c:layout>
                    <c:tx>
                      <c:rich>
                        <a:bodyPr rot="0" spcFirstLastPara="1" vertOverflow="ellipsis" vert="horz" wrap="square" lIns="38100" tIns="19050" rIns="38100" bIns="19050" anchor="ctr" anchorCtr="1">
                          <a:noAutofit/>
                        </a:bodyPr>
                        <a:lstStyle/>
                        <a:p>
                          <a:pPr>
                            <a:defRPr sz="1100" b="0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fld id="{A498224E-C13C-448E-8282-B79ED8D742CC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>
                              <a:defRPr sz="1100">
                                <a:solidFill>
                                  <a:schemeClr val="tx1"/>
                                </a:solidFill>
                              </a:defRPr>
                            </a:pPr>
                            <a:t>[Y VALUE]</a:t>
                          </a:fld>
                          <a:endParaRPr lang="en-US"/>
                        </a:p>
                      </c:rich>
                    </c:tx>
                    <c:numFmt formatCode="#,##0.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noAutofit/>
                      </a:bodyPr>
                      <a:lstStyle/>
                      <a:p>
                        <a:pPr>
                          <a:defRPr sz="1100" b="0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layout>
                          <c:manualLayout>
                            <c:w val="3.5401331931300385E-2"/>
                            <c:h val="3.1884657950879171E-2"/>
                          </c:manualLayout>
                        </c15:layout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1-DAFE-4012-AF60-86A9E3EE0116}"/>
                      </c:ext>
                    </c:extLst>
                  </c:dLbl>
                  <c:dLbl>
                    <c:idx val="1"/>
                    <c:layout>
                      <c:manualLayout>
                        <c:x val="-4.0568540919766735E-2"/>
                        <c:y val="-3.7790675744922002E-2"/>
                      </c:manualLayout>
                    </c:layout>
                    <c:tx>
                      <c:rich>
                        <a:bodyPr/>
                        <a:lstStyle/>
                        <a:p>
                          <a:fld id="{AA376EE1-EB5E-4D2B-A1DC-C5A838C489EF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2-DAFE-4012-AF60-86A9E3EE0116}"/>
                      </c:ext>
                    </c:extLst>
                  </c:dLbl>
                  <c:dLbl>
                    <c:idx val="2"/>
                    <c:layout>
                      <c:manualLayout>
                        <c:x val="-4.9321973554567508E-2"/>
                        <c:y val="-3.0780511006050552E-2"/>
                      </c:manualLayout>
                    </c:layout>
                    <c:tx>
                      <c:rich>
                        <a:bodyPr/>
                        <a:lstStyle/>
                        <a:p>
                          <a:fld id="{65FB8E78-4EBA-4FDF-9B0A-057B9128E284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3-DAFE-4012-AF60-86A9E3EE0116}"/>
                      </c:ext>
                    </c:extLst>
                  </c:dLbl>
                  <c:dLbl>
                    <c:idx val="3"/>
                    <c:layout>
                      <c:manualLayout>
                        <c:x val="-4.3041760261452316E-2"/>
                        <c:y val="-1.9096903107931697E-2"/>
                      </c:manualLayout>
                    </c:layout>
                    <c:tx>
                      <c:rich>
                        <a:bodyPr/>
                        <a:lstStyle/>
                        <a:p>
                          <a:fld id="{660F7143-2E4F-4473-A402-D7E9B439BB7E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4-DAFE-4012-AF60-86A9E3EE0116}"/>
                      </c:ext>
                    </c:extLst>
                  </c:dLbl>
                  <c:dLbl>
                    <c:idx val="4"/>
                    <c:layout>
                      <c:manualLayout>
                        <c:x val="-4.7247847962222388E-2"/>
                        <c:y val="-2.1433624687555487E-2"/>
                      </c:manualLayout>
                    </c:layout>
                    <c:tx>
                      <c:rich>
                        <a:bodyPr/>
                        <a:lstStyle/>
                        <a:p>
                          <a:fld id="{AE936EFF-0F83-4B41-95F1-7C455B1A04A7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5-DAFE-4012-AF60-86A9E3EE0116}"/>
                      </c:ext>
                    </c:extLst>
                  </c:dLbl>
                  <c:dLbl>
                    <c:idx val="5"/>
                    <c:layout>
                      <c:manualLayout>
                        <c:x val="-4.7258090540214827E-2"/>
                        <c:y val="-1.2086738369060421E-2"/>
                      </c:manualLayout>
                    </c:layout>
                    <c:tx>
                      <c:rich>
                        <a:bodyPr/>
                        <a:lstStyle/>
                        <a:p>
                          <a:fld id="{7B7C8841-1A8F-4BFC-9C9C-735DBE372223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6-DAFE-4012-AF60-86A9E3EE0116}"/>
                      </c:ext>
                    </c:extLst>
                  </c:dLbl>
                  <c:dLbl>
                    <c:idx val="6"/>
                    <c:layout>
                      <c:manualLayout>
                        <c:x val="-4.7258090540214827E-2"/>
                        <c:y val="-1.2086738369060334E-2"/>
                      </c:manualLayout>
                    </c:layout>
                    <c:tx>
                      <c:rich>
                        <a:bodyPr/>
                        <a:lstStyle/>
                        <a:p>
                          <a:fld id="{E91B1A30-9AB1-4F7B-A55E-532EE8D6519E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7-DAFE-4012-AF60-86A9E3EE0116}"/>
                      </c:ext>
                    </c:extLst>
                  </c:dLbl>
                  <c:dLbl>
                    <c:idx val="7"/>
                    <c:layout>
                      <c:manualLayout>
                        <c:x val="-5.3231216760365525E-2"/>
                        <c:y val="-1.2086738369060377E-2"/>
                      </c:manualLayout>
                    </c:layout>
                    <c:tx>
                      <c:rich>
                        <a:bodyPr/>
                        <a:lstStyle/>
                        <a:p>
                          <a:fld id="{E66C2C4A-FD71-448B-8267-D8B417661D6A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8-DAFE-4012-AF60-86A9E3EE0116}"/>
                      </c:ext>
                    </c:extLst>
                  </c:dLbl>
                  <c:dLbl>
                    <c:idx val="8"/>
                    <c:layout>
                      <c:manualLayout>
                        <c:x val="-5.4633249708139792E-2"/>
                        <c:y val="-1.676018152830791E-2"/>
                      </c:manualLayout>
                    </c:layout>
                    <c:tx>
                      <c:rich>
                        <a:bodyPr/>
                        <a:lstStyle/>
                        <a:p>
                          <a:fld id="{7D54130A-CE23-48CA-AD5F-D9C77CD5A626}" type="YVALUE">
                            <a:rPr lang="en-US"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pPr/>
                            <a:t>[Y VALUE]</a:t>
                          </a:fld>
                          <a:endParaRPr lang="en-US"/>
                        </a:p>
                      </c:rich>
                    </c:tx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9-DAFE-4012-AF60-86A9E3EE0116}"/>
                      </c:ext>
                    </c:extLst>
                  </c:dLbl>
                  <c:numFmt formatCode="#,##0.0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trendline>
                  <c:spPr>
                    <a:ln w="12700" cap="rnd">
                      <a:solidFill>
                        <a:schemeClr val="tx1"/>
                      </a:solidFill>
                      <a:prstDash val="sysDash"/>
                    </a:ln>
                    <a:effectLst/>
                  </c:spPr>
                  <c:trendlineType val="poly"/>
                  <c:order val="2"/>
                  <c:dispRSqr val="1"/>
                  <c:dispEq val="1"/>
                  <c:trendlineLbl>
                    <c:layout>
                      <c:manualLayout>
                        <c:x val="5.4856360620537573E-2"/>
                        <c:y val="0.48474240404492025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tx1">
                                <a:lumMod val="65000"/>
                                <a:lumOff val="35000"/>
                              </a:schemeClr>
                            </a:solidFill>
                            <a:latin typeface="Times New Roman" panose="02020603050405020304" pitchFamily="18" charset="0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Sheet1!$X$13:$X$21</c15:sqref>
                          </c15:formulaRef>
                        </c:ext>
                      </c:extLst>
                      <c:numCache>
                        <c:formatCode>General</c:formatCode>
                        <c:ptCount val="9"/>
                        <c:pt idx="0">
                          <c:v>0.21330729007701546</c:v>
                        </c:pt>
                        <c:pt idx="1">
                          <c:v>0.37253187783060931</c:v>
                        </c:pt>
                        <c:pt idx="2">
                          <c:v>0.55338052007637584</c:v>
                        </c:pt>
                        <c:pt idx="3">
                          <c:v>0.70729767425038137</c:v>
                        </c:pt>
                        <c:pt idx="4">
                          <c:v>0.78202941121162695</c:v>
                        </c:pt>
                        <c:pt idx="5">
                          <c:v>0.88001704528946623</c:v>
                        </c:pt>
                        <c:pt idx="6">
                          <c:v>0.97351425259211943</c:v>
                        </c:pt>
                        <c:pt idx="7">
                          <c:v>1.0864989645646244</c:v>
                        </c:pt>
                        <c:pt idx="8">
                          <c:v>1.1366969692930484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Sheet1!$X$13:$X$21</c15:sqref>
                          </c15:formulaRef>
                        </c:ext>
                      </c:extLst>
                      <c:numCache>
                        <c:formatCode>General</c:formatCode>
                        <c:ptCount val="9"/>
                        <c:pt idx="0">
                          <c:v>0.21330729007701546</c:v>
                        </c:pt>
                        <c:pt idx="1">
                          <c:v>0.37253187783060931</c:v>
                        </c:pt>
                        <c:pt idx="2">
                          <c:v>0.55338052007637584</c:v>
                        </c:pt>
                        <c:pt idx="3">
                          <c:v>0.70729767425038137</c:v>
                        </c:pt>
                        <c:pt idx="4">
                          <c:v>0.78202941121162695</c:v>
                        </c:pt>
                        <c:pt idx="5">
                          <c:v>0.88001704528946623</c:v>
                        </c:pt>
                        <c:pt idx="6">
                          <c:v>0.97351425259211943</c:v>
                        </c:pt>
                        <c:pt idx="7">
                          <c:v>1.0864989645646244</c:v>
                        </c:pt>
                        <c:pt idx="8">
                          <c:v>1.1366969692930484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Sheet1!$V$13:$V$21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0.5</c:v>
                      </c:pt>
                      <c:pt idx="1">
                        <c:v>0.55000000000000004</c:v>
                      </c:pt>
                      <c:pt idx="2">
                        <c:v>0.6</c:v>
                      </c:pt>
                      <c:pt idx="3">
                        <c:v>0.65</c:v>
                      </c:pt>
                      <c:pt idx="4">
                        <c:v>0.7</c:v>
                      </c:pt>
                      <c:pt idx="5">
                        <c:v>0.75</c:v>
                      </c:pt>
                      <c:pt idx="6">
                        <c:v>0.8</c:v>
                      </c:pt>
                      <c:pt idx="7">
                        <c:v>0.85</c:v>
                      </c:pt>
                      <c:pt idx="8">
                        <c:v>0.9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Sheet1!$W$13:$W$21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0.21000000000000002</c:v>
                      </c:pt>
                      <c:pt idx="1">
                        <c:v>0.6825</c:v>
                      </c:pt>
                      <c:pt idx="2">
                        <c:v>1.5</c:v>
                      </c:pt>
                      <c:pt idx="3">
                        <c:v>3.0520000000000005</c:v>
                      </c:pt>
                      <c:pt idx="4">
                        <c:v>4.5919999999999996</c:v>
                      </c:pt>
                      <c:pt idx="5">
                        <c:v>6.3439999999999994</c:v>
                      </c:pt>
                      <c:pt idx="6">
                        <c:v>8.1860000000000017</c:v>
                      </c:pt>
                      <c:pt idx="7">
                        <c:v>10.233999999999998</c:v>
                      </c:pt>
                      <c:pt idx="8">
                        <c:v>12.346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AFE-4012-AF60-86A9E3EE0116}"/>
                  </c:ext>
                </c:extLst>
              </c15:ser>
            </c15:filteredScatterSeries>
          </c:ext>
        </c:extLst>
      </c:scatterChart>
      <c:valAx>
        <c:axId val="1214551440"/>
        <c:scaling>
          <c:orientation val="minMax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  <a:alpha val="7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After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Motion (s)</a:t>
                </a:r>
                <a:endParaRPr lang="en-US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0000"/>
        <c:crosses val="autoZero"/>
        <c:crossBetween val="midCat"/>
        <c:majorUnit val="5.000000000000001E-2"/>
        <c:minorUnit val="2.0000000000000004E-2"/>
      </c:valAx>
      <c:valAx>
        <c:axId val="1214550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Projectile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Position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14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Projectile Position (cm) vs Time After Switch Actuated (s)</a:t>
            </a:r>
            <a:endParaRPr lang="en-US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Sheet1!$W$2</c:f>
              <c:strCache>
                <c:ptCount val="1"/>
                <c:pt idx="0">
                  <c:v>Avg Pos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Sheet1!$V$3:$V$12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</c:numCache>
            </c:numRef>
          </c:xVal>
          <c:yVal>
            <c:numRef>
              <c:f>Sheet1!$W$3:$W$12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C-490A-A976-11C61A2EF43C}"/>
            </c:ext>
          </c:extLst>
        </c:ser>
        <c:ser>
          <c:idx val="1"/>
          <c:order val="1"/>
          <c:tx>
            <c:v>avg pos no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9741783065760414E-2"/>
                  <c:y val="-3.31172325856744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498224E-C13C-448E-8282-B79ED8D742CC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 sz="1100">
                          <a:solidFill>
                            <a:schemeClr val="tx1"/>
                          </a:solidFill>
                        </a:defRPr>
                      </a:pPr>
                      <a:t>[Y VALUE]</a:t>
                    </a:fld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401331931300385E-2"/>
                      <c:h val="3.188465795087917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49C-490A-A976-11C61A2EF43C}"/>
                </c:ext>
              </c:extLst>
            </c:dLbl>
            <c:dLbl>
              <c:idx val="1"/>
              <c:layout>
                <c:manualLayout>
                  <c:x val="-4.0568540919766735E-2"/>
                  <c:y val="-3.7790675744922002E-2"/>
                </c:manualLayout>
              </c:layout>
              <c:tx>
                <c:rich>
                  <a:bodyPr/>
                  <a:lstStyle/>
                  <a:p>
                    <a:fld id="{AA376EE1-EB5E-4D2B-A1DC-C5A838C489EF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49C-490A-A976-11C61A2EF43C}"/>
                </c:ext>
              </c:extLst>
            </c:dLbl>
            <c:dLbl>
              <c:idx val="2"/>
              <c:layout>
                <c:manualLayout>
                  <c:x val="-4.9321973554567508E-2"/>
                  <c:y val="-3.0780511006050552E-2"/>
                </c:manualLayout>
              </c:layout>
              <c:tx>
                <c:rich>
                  <a:bodyPr/>
                  <a:lstStyle/>
                  <a:p>
                    <a:fld id="{65FB8E78-4EBA-4FDF-9B0A-057B9128E284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49C-490A-A976-11C61A2EF43C}"/>
                </c:ext>
              </c:extLst>
            </c:dLbl>
            <c:dLbl>
              <c:idx val="3"/>
              <c:layout>
                <c:manualLayout>
                  <c:x val="-4.3041760261452316E-2"/>
                  <c:y val="-1.9096903107931697E-2"/>
                </c:manualLayout>
              </c:layout>
              <c:tx>
                <c:rich>
                  <a:bodyPr/>
                  <a:lstStyle/>
                  <a:p>
                    <a:fld id="{660F7143-2E4F-4473-A402-D7E9B439BB7E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349C-490A-A976-11C61A2EF43C}"/>
                </c:ext>
              </c:extLst>
            </c:dLbl>
            <c:dLbl>
              <c:idx val="4"/>
              <c:layout>
                <c:manualLayout>
                  <c:x val="-4.7247847962222388E-2"/>
                  <c:y val="-2.1433624687555487E-2"/>
                </c:manualLayout>
              </c:layout>
              <c:tx>
                <c:rich>
                  <a:bodyPr/>
                  <a:lstStyle/>
                  <a:p>
                    <a:fld id="{AE936EFF-0F83-4B41-95F1-7C455B1A04A7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49C-490A-A976-11C61A2EF43C}"/>
                </c:ext>
              </c:extLst>
            </c:dLbl>
            <c:dLbl>
              <c:idx val="5"/>
              <c:layout>
                <c:manualLayout>
                  <c:x val="-4.7258090540214827E-2"/>
                  <c:y val="-1.2086738369060421E-2"/>
                </c:manualLayout>
              </c:layout>
              <c:tx>
                <c:rich>
                  <a:bodyPr/>
                  <a:lstStyle/>
                  <a:p>
                    <a:fld id="{7B7C8841-1A8F-4BFC-9C9C-735DBE372223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49C-490A-A976-11C61A2EF43C}"/>
                </c:ext>
              </c:extLst>
            </c:dLbl>
            <c:dLbl>
              <c:idx val="6"/>
              <c:layout>
                <c:manualLayout>
                  <c:x val="-4.7258090540214827E-2"/>
                  <c:y val="-1.2086738369060334E-2"/>
                </c:manualLayout>
              </c:layout>
              <c:tx>
                <c:rich>
                  <a:bodyPr/>
                  <a:lstStyle/>
                  <a:p>
                    <a:fld id="{E91B1A30-9AB1-4F7B-A55E-532EE8D6519E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49C-490A-A976-11C61A2EF43C}"/>
                </c:ext>
              </c:extLst>
            </c:dLbl>
            <c:dLbl>
              <c:idx val="7"/>
              <c:layout>
                <c:manualLayout>
                  <c:x val="-5.3231216760365525E-2"/>
                  <c:y val="-1.2086738369060377E-2"/>
                </c:manualLayout>
              </c:layout>
              <c:tx>
                <c:rich>
                  <a:bodyPr/>
                  <a:lstStyle/>
                  <a:p>
                    <a:fld id="{E66C2C4A-FD71-448B-8267-D8B417661D6A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349C-490A-A976-11C61A2EF43C}"/>
                </c:ext>
              </c:extLst>
            </c:dLbl>
            <c:dLbl>
              <c:idx val="8"/>
              <c:layout>
                <c:manualLayout>
                  <c:x val="-5.4633249708139792E-2"/>
                  <c:y val="-1.676018152830791E-2"/>
                </c:manualLayout>
              </c:layout>
              <c:tx>
                <c:rich>
                  <a:bodyPr/>
                  <a:lstStyle/>
                  <a:p>
                    <a:fld id="{7D54130A-CE23-48CA-AD5F-D9C77CD5A626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49C-490A-A976-11C61A2EF43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2700" cap="rnd">
                <a:solidFill>
                  <a:schemeClr val="tx1"/>
                </a:solidFill>
                <a:prstDash val="sysDash"/>
              </a:ln>
              <a:effectLst/>
            </c:spPr>
            <c:trendlineType val="poly"/>
            <c:order val="2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Sheet1!$AO$55:$AO$63</c:f>
                <c:numCache>
                  <c:formatCode>General</c:formatCode>
                  <c:ptCount val="9"/>
                  <c:pt idx="0">
                    <c:v>0.18696864782181138</c:v>
                  </c:pt>
                  <c:pt idx="1">
                    <c:v>0.32653258800185025</c:v>
                  </c:pt>
                  <c:pt idx="2">
                    <c:v>0.48505049936293482</c:v>
                  </c:pt>
                  <c:pt idx="3">
                    <c:v>0.61996235437785152</c:v>
                  </c:pt>
                  <c:pt idx="4">
                    <c:v>0.68546640632082323</c:v>
                  </c:pt>
                  <c:pt idx="5">
                    <c:v>0.77135477628781945</c:v>
                  </c:pt>
                  <c:pt idx="6">
                    <c:v>0.85330718596955624</c:v>
                  </c:pt>
                  <c:pt idx="7">
                    <c:v>0.95234083275400949</c:v>
                  </c:pt>
                  <c:pt idx="8">
                    <c:v>0.99634051539044299</c:v>
                  </c:pt>
                </c:numCache>
              </c:numRef>
            </c:plus>
            <c:minus>
              <c:numRef>
                <c:f>Sheet1!$AO$55:$AO$63</c:f>
                <c:numCache>
                  <c:formatCode>General</c:formatCode>
                  <c:ptCount val="9"/>
                  <c:pt idx="0">
                    <c:v>0.18696864782181138</c:v>
                  </c:pt>
                  <c:pt idx="1">
                    <c:v>0.32653258800185025</c:v>
                  </c:pt>
                  <c:pt idx="2">
                    <c:v>0.48505049936293482</c:v>
                  </c:pt>
                  <c:pt idx="3">
                    <c:v>0.61996235437785152</c:v>
                  </c:pt>
                  <c:pt idx="4">
                    <c:v>0.68546640632082323</c:v>
                  </c:pt>
                  <c:pt idx="5">
                    <c:v>0.77135477628781945</c:v>
                  </c:pt>
                  <c:pt idx="6">
                    <c:v>0.85330718596955624</c:v>
                  </c:pt>
                  <c:pt idx="7">
                    <c:v>0.95234083275400949</c:v>
                  </c:pt>
                  <c:pt idx="8">
                    <c:v>0.99634051539044299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Sheet1!$V$13:$V$21</c:f>
              <c:numCache>
                <c:formatCode>General</c:formatCode>
                <c:ptCount val="9"/>
                <c:pt idx="0">
                  <c:v>0.5</c:v>
                </c:pt>
                <c:pt idx="1">
                  <c:v>0.55000000000000004</c:v>
                </c:pt>
                <c:pt idx="2">
                  <c:v>0.6</c:v>
                </c:pt>
                <c:pt idx="3">
                  <c:v>0.65</c:v>
                </c:pt>
                <c:pt idx="4">
                  <c:v>0.7</c:v>
                </c:pt>
                <c:pt idx="5">
                  <c:v>0.75</c:v>
                </c:pt>
                <c:pt idx="6">
                  <c:v>0.8</c:v>
                </c:pt>
                <c:pt idx="7">
                  <c:v>0.85</c:v>
                </c:pt>
                <c:pt idx="8">
                  <c:v>0.9</c:v>
                </c:pt>
              </c:numCache>
            </c:numRef>
          </c:xVal>
          <c:yVal>
            <c:numRef>
              <c:f>Sheet1!$W$13:$W$21</c:f>
              <c:numCache>
                <c:formatCode>General</c:formatCode>
                <c:ptCount val="9"/>
                <c:pt idx="0">
                  <c:v>0.21000000000000002</c:v>
                </c:pt>
                <c:pt idx="1">
                  <c:v>0.6825</c:v>
                </c:pt>
                <c:pt idx="2">
                  <c:v>1.5</c:v>
                </c:pt>
                <c:pt idx="3">
                  <c:v>3.0520000000000005</c:v>
                </c:pt>
                <c:pt idx="4">
                  <c:v>4.5919999999999996</c:v>
                </c:pt>
                <c:pt idx="5">
                  <c:v>6.3439999999999994</c:v>
                </c:pt>
                <c:pt idx="6">
                  <c:v>8.1860000000000017</c:v>
                </c:pt>
                <c:pt idx="7">
                  <c:v>10.233999999999998</c:v>
                </c:pt>
                <c:pt idx="8">
                  <c:v>12.346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49C-490A-A976-11C61A2EF43C}"/>
            </c:ext>
          </c:extLst>
        </c:ser>
        <c:ser>
          <c:idx val="2"/>
          <c:order val="2"/>
          <c:tx>
            <c:v>Lower error bound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73996645234899E-2"/>
                  <c:y val="0.367635486153084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Sheet1!$Y$65:$Y$74</c:f>
              <c:numCache>
                <c:formatCode>General</c:formatCode>
                <c:ptCount val="10"/>
                <c:pt idx="0">
                  <c:v>0.45</c:v>
                </c:pt>
                <c:pt idx="1">
                  <c:v>0.5</c:v>
                </c:pt>
                <c:pt idx="2">
                  <c:v>0.55000000000000004</c:v>
                </c:pt>
                <c:pt idx="3">
                  <c:v>0.6</c:v>
                </c:pt>
                <c:pt idx="4">
                  <c:v>0.65</c:v>
                </c:pt>
                <c:pt idx="5">
                  <c:v>0.7</c:v>
                </c:pt>
                <c:pt idx="6">
                  <c:v>0.75</c:v>
                </c:pt>
                <c:pt idx="7">
                  <c:v>0.8</c:v>
                </c:pt>
                <c:pt idx="8">
                  <c:v>0.85</c:v>
                </c:pt>
                <c:pt idx="9">
                  <c:v>0.9</c:v>
                </c:pt>
              </c:numCache>
            </c:numRef>
          </c:xVal>
          <c:yVal>
            <c:numRef>
              <c:f>Sheet1!$Z$65:$Z$74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2.3031352178188635E-2</c:v>
                </c:pt>
                <c:pt idx="2">
                  <c:v>0.35596741199814974</c:v>
                </c:pt>
                <c:pt idx="3">
                  <c:v>1.0149495006370652</c:v>
                </c:pt>
                <c:pt idx="4">
                  <c:v>2.4320376456221489</c:v>
                </c:pt>
                <c:pt idx="5">
                  <c:v>3.9065335936791765</c:v>
                </c:pt>
                <c:pt idx="6">
                  <c:v>5.57264522371218</c:v>
                </c:pt>
                <c:pt idx="7">
                  <c:v>7.3326928140304455</c:v>
                </c:pt>
                <c:pt idx="8">
                  <c:v>9.2816591672459889</c:v>
                </c:pt>
                <c:pt idx="9">
                  <c:v>11.349659484609557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49C-490A-A976-11C61A2EF43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14551440"/>
        <c:axId val="1214550000"/>
      </c:scatterChart>
      <c:valAx>
        <c:axId val="1214551440"/>
        <c:scaling>
          <c:orientation val="minMax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  <a:alpha val="7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After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Actuation (s)</a:t>
                </a:r>
                <a:endParaRPr lang="en-US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0000"/>
        <c:crosses val="autoZero"/>
        <c:crossBetween val="midCat"/>
        <c:majorUnit val="5.000000000000001E-2"/>
        <c:minorUnit val="2.0000000000000004E-2"/>
      </c:valAx>
      <c:valAx>
        <c:axId val="1214550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Projectile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Position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14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Projectile Position (cm) vs Time After Switch Actuated (s)</a:t>
            </a:r>
            <a:endParaRPr lang="en-US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Sheet1!$W$2</c:f>
              <c:strCache>
                <c:ptCount val="1"/>
                <c:pt idx="0">
                  <c:v>Avg Pos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Sheet1!$V$3:$V$12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</c:numCache>
            </c:numRef>
          </c:xVal>
          <c:yVal>
            <c:numRef>
              <c:f>Sheet1!$W$3:$W$12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C3-45F6-8198-E5DAA1B09BA9}"/>
            </c:ext>
          </c:extLst>
        </c:ser>
        <c:ser>
          <c:idx val="1"/>
          <c:order val="1"/>
          <c:tx>
            <c:v>avg pos no 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9741783065760414E-2"/>
                  <c:y val="-3.31172325856744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498224E-C13C-448E-8282-B79ED8D742CC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 sz="1100">
                          <a:solidFill>
                            <a:schemeClr val="tx1"/>
                          </a:solidFill>
                        </a:defRPr>
                      </a:pPr>
                      <a:t>[Y VALUE]</a:t>
                    </a:fld>
                    <a:endParaRPr lang="en-US"/>
                  </a:p>
                </c:rich>
              </c:tx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401331931300385E-2"/>
                      <c:h val="3.1884657950879171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2C3-45F6-8198-E5DAA1B09BA9}"/>
                </c:ext>
              </c:extLst>
            </c:dLbl>
            <c:dLbl>
              <c:idx val="1"/>
              <c:layout>
                <c:manualLayout>
                  <c:x val="3.2998118505376262E-3"/>
                  <c:y val="4.2703126883061803E-3"/>
                </c:manualLayout>
              </c:layout>
              <c:tx>
                <c:rich>
                  <a:bodyPr/>
                  <a:lstStyle/>
                  <a:p>
                    <a:fld id="{AA376EE1-EB5E-4D2B-A1DC-C5A838C489EF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2C3-45F6-8198-E5DAA1B09BA9}"/>
                </c:ext>
              </c:extLst>
            </c:dLbl>
            <c:dLbl>
              <c:idx val="2"/>
              <c:layout>
                <c:manualLayout>
                  <c:x val="-1.4655246857852616E-3"/>
                  <c:y val="4.2703126883061803E-3"/>
                </c:manualLayout>
              </c:layout>
              <c:tx>
                <c:rich>
                  <a:bodyPr/>
                  <a:lstStyle/>
                  <a:p>
                    <a:fld id="{65FB8E78-4EBA-4FDF-9B0A-057B9128E284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12C3-45F6-8198-E5DAA1B09BA9}"/>
                </c:ext>
              </c:extLst>
            </c:dLbl>
            <c:dLbl>
              <c:idx val="3"/>
              <c:layout>
                <c:manualLayout>
                  <c:x val="-1.8320890347329737E-3"/>
                  <c:y val="1.1280477427177459E-2"/>
                </c:manualLayout>
              </c:layout>
              <c:tx>
                <c:rich>
                  <a:bodyPr/>
                  <a:lstStyle/>
                  <a:p>
                    <a:fld id="{660F7143-2E4F-4473-A402-D7E9B439BB7E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12C3-45F6-8198-E5DAA1B09BA9}"/>
                </c:ext>
              </c:extLst>
            </c:dLbl>
            <c:dLbl>
              <c:idx val="4"/>
              <c:layout>
                <c:manualLayout>
                  <c:x val="1.9379132942380208E-3"/>
                  <c:y val="1.1280477427177459E-2"/>
                </c:manualLayout>
              </c:layout>
              <c:tx>
                <c:rich>
                  <a:bodyPr/>
                  <a:lstStyle/>
                  <a:p>
                    <a:fld id="{AE936EFF-0F83-4B41-95F1-7C455B1A04A7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2C3-45F6-8198-E5DAA1B09BA9}"/>
                </c:ext>
              </c:extLst>
            </c:dLbl>
            <c:dLbl>
              <c:idx val="5"/>
              <c:layout>
                <c:manualLayout>
                  <c:x val="5.9831005670652089E-4"/>
                  <c:y val="8.9437558475536708E-3"/>
                </c:manualLayout>
              </c:layout>
              <c:tx>
                <c:rich>
                  <a:bodyPr/>
                  <a:lstStyle/>
                  <a:p>
                    <a:fld id="{7B7C8841-1A8F-4BFC-9C9C-735DBE372223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12C3-45F6-8198-E5DAA1B09BA9}"/>
                </c:ext>
              </c:extLst>
            </c:dLbl>
            <c:dLbl>
              <c:idx val="6"/>
              <c:layout>
                <c:manualLayout>
                  <c:x val="-2.0603805381754999E-3"/>
                  <c:y val="1.8290642166048907E-2"/>
                </c:manualLayout>
              </c:layout>
              <c:tx>
                <c:rich>
                  <a:bodyPr/>
                  <a:lstStyle/>
                  <a:p>
                    <a:fld id="{E91B1A30-9AB1-4F7B-A55E-532EE8D6519E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12C3-45F6-8198-E5DAA1B09BA9}"/>
                </c:ext>
              </c:extLst>
            </c:dLbl>
            <c:dLbl>
              <c:idx val="7"/>
              <c:layout>
                <c:manualLayout>
                  <c:x val="-1.3867060236612996E-3"/>
                  <c:y val="2.2964085325296441E-2"/>
                </c:manualLayout>
              </c:layout>
              <c:tx>
                <c:rich>
                  <a:bodyPr/>
                  <a:lstStyle/>
                  <a:p>
                    <a:fld id="{E66C2C4A-FD71-448B-8267-D8B417661D6A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12C3-45F6-8198-E5DAA1B09BA9}"/>
                </c:ext>
              </c:extLst>
            </c:dLbl>
            <c:dLbl>
              <c:idx val="8"/>
              <c:layout>
                <c:manualLayout>
                  <c:x val="-2.7887989574585286E-3"/>
                  <c:y val="1.3617199006801332E-2"/>
                </c:manualLayout>
              </c:layout>
              <c:tx>
                <c:rich>
                  <a:bodyPr/>
                  <a:lstStyle/>
                  <a:p>
                    <a:fld id="{7D54130A-CE23-48CA-AD5F-D9C77CD5A626}" type="YVALUE">
                      <a:rPr lang="en-US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/>
                      <a:t>[Y VALUE]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12C3-45F6-8198-E5DAA1B09BA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2700" cap="rnd">
                <a:solidFill>
                  <a:schemeClr val="tx1"/>
                </a:solidFill>
                <a:prstDash val="sysDash"/>
              </a:ln>
              <a:effectLst/>
            </c:spPr>
            <c:trendlineType val="poly"/>
            <c:order val="2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Sheet1!$AO$55:$AO$63</c:f>
                <c:numCache>
                  <c:formatCode>General</c:formatCode>
                  <c:ptCount val="9"/>
                  <c:pt idx="0">
                    <c:v>0.18696864782181138</c:v>
                  </c:pt>
                  <c:pt idx="1">
                    <c:v>0.32653258800185025</c:v>
                  </c:pt>
                  <c:pt idx="2">
                    <c:v>0.48505049936293482</c:v>
                  </c:pt>
                  <c:pt idx="3">
                    <c:v>0.61996235437785152</c:v>
                  </c:pt>
                  <c:pt idx="4">
                    <c:v>0.68546640632082323</c:v>
                  </c:pt>
                  <c:pt idx="5">
                    <c:v>0.77135477628781945</c:v>
                  </c:pt>
                  <c:pt idx="6">
                    <c:v>0.85330718596955624</c:v>
                  </c:pt>
                  <c:pt idx="7">
                    <c:v>0.95234083275400949</c:v>
                  </c:pt>
                  <c:pt idx="8">
                    <c:v>0.99634051539044299</c:v>
                  </c:pt>
                </c:numCache>
              </c:numRef>
            </c:plus>
            <c:minus>
              <c:numRef>
                <c:f>Sheet1!$AO$55:$AO$63</c:f>
                <c:numCache>
                  <c:formatCode>General</c:formatCode>
                  <c:ptCount val="9"/>
                  <c:pt idx="0">
                    <c:v>0.18696864782181138</c:v>
                  </c:pt>
                  <c:pt idx="1">
                    <c:v>0.32653258800185025</c:v>
                  </c:pt>
                  <c:pt idx="2">
                    <c:v>0.48505049936293482</c:v>
                  </c:pt>
                  <c:pt idx="3">
                    <c:v>0.61996235437785152</c:v>
                  </c:pt>
                  <c:pt idx="4">
                    <c:v>0.68546640632082323</c:v>
                  </c:pt>
                  <c:pt idx="5">
                    <c:v>0.77135477628781945</c:v>
                  </c:pt>
                  <c:pt idx="6">
                    <c:v>0.85330718596955624</c:v>
                  </c:pt>
                  <c:pt idx="7">
                    <c:v>0.95234083275400949</c:v>
                  </c:pt>
                  <c:pt idx="8">
                    <c:v>0.99634051539044299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Sheet1!$V$13:$V$21</c:f>
              <c:numCache>
                <c:formatCode>General</c:formatCode>
                <c:ptCount val="9"/>
                <c:pt idx="0">
                  <c:v>0.5</c:v>
                </c:pt>
                <c:pt idx="1">
                  <c:v>0.55000000000000004</c:v>
                </c:pt>
                <c:pt idx="2">
                  <c:v>0.6</c:v>
                </c:pt>
                <c:pt idx="3">
                  <c:v>0.65</c:v>
                </c:pt>
                <c:pt idx="4">
                  <c:v>0.7</c:v>
                </c:pt>
                <c:pt idx="5">
                  <c:v>0.75</c:v>
                </c:pt>
                <c:pt idx="6">
                  <c:v>0.8</c:v>
                </c:pt>
                <c:pt idx="7">
                  <c:v>0.85</c:v>
                </c:pt>
                <c:pt idx="8">
                  <c:v>0.9</c:v>
                </c:pt>
              </c:numCache>
            </c:numRef>
          </c:xVal>
          <c:yVal>
            <c:numRef>
              <c:f>Sheet1!$W$13:$W$21</c:f>
              <c:numCache>
                <c:formatCode>General</c:formatCode>
                <c:ptCount val="9"/>
                <c:pt idx="0">
                  <c:v>0.21000000000000002</c:v>
                </c:pt>
                <c:pt idx="1">
                  <c:v>0.6825</c:v>
                </c:pt>
                <c:pt idx="2">
                  <c:v>1.5</c:v>
                </c:pt>
                <c:pt idx="3">
                  <c:v>3.0520000000000005</c:v>
                </c:pt>
                <c:pt idx="4">
                  <c:v>4.5919999999999996</c:v>
                </c:pt>
                <c:pt idx="5">
                  <c:v>6.3439999999999994</c:v>
                </c:pt>
                <c:pt idx="6">
                  <c:v>8.1860000000000017</c:v>
                </c:pt>
                <c:pt idx="7">
                  <c:v>10.233999999999998</c:v>
                </c:pt>
                <c:pt idx="8">
                  <c:v>12.346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2C3-45F6-8198-E5DAA1B09BA9}"/>
            </c:ext>
          </c:extLst>
        </c:ser>
        <c:ser>
          <c:idx val="2"/>
          <c:order val="2"/>
          <c:tx>
            <c:v>Positive Error Bar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3402605830801559"/>
                  <c:y val="0.240906427180303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accent2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Sheet1!$Y$86:$Y$95</c:f>
              <c:numCache>
                <c:formatCode>General</c:formatCode>
                <c:ptCount val="10"/>
                <c:pt idx="0">
                  <c:v>0.45</c:v>
                </c:pt>
                <c:pt idx="1">
                  <c:v>0.5</c:v>
                </c:pt>
                <c:pt idx="2">
                  <c:v>0.55000000000000004</c:v>
                </c:pt>
                <c:pt idx="3">
                  <c:v>0.6</c:v>
                </c:pt>
                <c:pt idx="4">
                  <c:v>0.65</c:v>
                </c:pt>
                <c:pt idx="5">
                  <c:v>0.7</c:v>
                </c:pt>
                <c:pt idx="6">
                  <c:v>0.75</c:v>
                </c:pt>
                <c:pt idx="7">
                  <c:v>0.8</c:v>
                </c:pt>
                <c:pt idx="8">
                  <c:v>0.85</c:v>
                </c:pt>
                <c:pt idx="9">
                  <c:v>0.9</c:v>
                </c:pt>
              </c:numCache>
            </c:numRef>
          </c:xVal>
          <c:yVal>
            <c:numRef>
              <c:f>Sheet1!$Z$86:$Z$95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0.3969686478218114</c:v>
                </c:pt>
                <c:pt idx="2">
                  <c:v>1.0090325880018503</c:v>
                </c:pt>
                <c:pt idx="3">
                  <c:v>1.9850504993629348</c:v>
                </c:pt>
                <c:pt idx="4">
                  <c:v>3.6719623543778521</c:v>
                </c:pt>
                <c:pt idx="5">
                  <c:v>5.2774664063208228</c:v>
                </c:pt>
                <c:pt idx="6">
                  <c:v>7.1153547762878189</c:v>
                </c:pt>
                <c:pt idx="7">
                  <c:v>9.0393071859695588</c:v>
                </c:pt>
                <c:pt idx="8">
                  <c:v>11.186340832754007</c:v>
                </c:pt>
                <c:pt idx="9">
                  <c:v>13.342340515390443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2C3-45F6-8198-E5DAA1B09B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14551440"/>
        <c:axId val="1214550000"/>
      </c:scatterChart>
      <c:valAx>
        <c:axId val="1214551440"/>
        <c:scaling>
          <c:orientation val="minMax"/>
          <c:min val="0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  <a:alpha val="7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After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Actuation (s)</a:t>
                </a:r>
                <a:endParaRPr lang="en-US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0000"/>
        <c:crosses val="autoZero"/>
        <c:crossBetween val="midCat"/>
        <c:majorUnit val="5.000000000000001E-2"/>
        <c:minorUnit val="2.0000000000000004E-2"/>
      </c:valAx>
      <c:valAx>
        <c:axId val="1214550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Projectile</a:t>
                </a:r>
                <a:r>
                  <a:rPr lang="en-US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Position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21455144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500"/>
              <a:t>Sound</a:t>
            </a:r>
            <a:r>
              <a:rPr lang="en-US" sz="1500" baseline="0"/>
              <a:t> Travel Time of All Recorded Strikes vs. Expected Sound Travel Time</a:t>
            </a:r>
            <a:endParaRPr 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852947027489479E-2"/>
          <c:y val="0.15151889358100157"/>
          <c:w val="0.86829856484054413"/>
          <c:h val="0.72443066806882672"/>
        </c:manualLayout>
      </c:layout>
      <c:scatterChart>
        <c:scatterStyle val="lineMarker"/>
        <c:varyColors val="0"/>
        <c:ser>
          <c:idx val="0"/>
          <c:order val="0"/>
          <c:tx>
            <c:v>Measured Travel 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291216826229325E-3"/>
                  <c:y val="2.23121540627884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A17-4711-BD48-025039DD7284}"/>
                </c:ext>
              </c:extLst>
            </c:dLbl>
            <c:dLbl>
              <c:idx val="1"/>
              <c:layout>
                <c:manualLayout>
                  <c:x val="-4.7724110919060538E-3"/>
                  <c:y val="2.78067340027530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A17-4711-BD48-025039DD7284}"/>
                </c:ext>
              </c:extLst>
            </c:dLbl>
            <c:dLbl>
              <c:idx val="2"/>
              <c:layout>
                <c:manualLayout>
                  <c:x val="-4.2934594411054459E-3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A17-4711-BD48-025039DD7284}"/>
                </c:ext>
              </c:extLst>
            </c:dLbl>
            <c:dLbl>
              <c:idx val="3"/>
              <c:layout>
                <c:manualLayout>
                  <c:x val="-6.4829527019082235E-3"/>
                  <c:y val="2.78067340027530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A17-4711-BD48-025039DD7284}"/>
                </c:ext>
              </c:extLst>
            </c:dLbl>
            <c:dLbl>
              <c:idx val="4"/>
              <c:layout>
                <c:manualLayout>
                  <c:x val="-4.7724110919061162E-3"/>
                  <c:y val="1.66840404016518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A17-4711-BD48-025039DD7284}"/>
                </c:ext>
              </c:extLst>
            </c:dLbl>
            <c:dLbl>
              <c:idx val="5"/>
              <c:layout>
                <c:manualLayout>
                  <c:x val="-4.7724110919060538E-3"/>
                  <c:y val="2.78067340027530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A17-4711-BD48-025039DD7284}"/>
                </c:ext>
              </c:extLst>
            </c:dLbl>
            <c:dLbl>
              <c:idx val="6"/>
              <c:layout>
                <c:manualLayout>
                  <c:x val="-4.7724110919061796E-3"/>
                  <c:y val="2.50260606024776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A17-4711-BD48-025039DD7284}"/>
                </c:ext>
              </c:extLst>
            </c:dLbl>
            <c:dLbl>
              <c:idx val="7"/>
              <c:layout>
                <c:manualLayout>
                  <c:x val="-4.2934594411055717E-3"/>
                  <c:y val="2.50260606024777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A17-4711-BD48-025039DD7284}"/>
                </c:ext>
              </c:extLst>
            </c:dLbl>
            <c:dLbl>
              <c:idx val="8"/>
              <c:layout>
                <c:manualLayout>
                  <c:x val="-4.2934594411054459E-3"/>
                  <c:y val="2.22453872022024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A17-4711-BD48-025039DD7284}"/>
                </c:ext>
              </c:extLst>
            </c:dLbl>
            <c:dLbl>
              <c:idx val="9"/>
              <c:layout>
                <c:manualLayout>
                  <c:x val="-8.1934943119103942E-3"/>
                  <c:y val="1.9464713801927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A17-4711-BD48-025039DD7284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Sheet1!$BD$13</c:f>
                <c:numCache>
                  <c:formatCode>General</c:formatCode>
                  <c:ptCount val="1"/>
                  <c:pt idx="0">
                    <c:v>4.0948585620000002E-3</c:v>
                  </c:pt>
                </c:numCache>
              </c:numRef>
            </c:plus>
            <c:minus>
              <c:numRef>
                <c:f>Sheet1!$BD$13</c:f>
                <c:numCache>
                  <c:formatCode>General</c:formatCode>
                  <c:ptCount val="1"/>
                  <c:pt idx="0">
                    <c:v>4.0948585620000002E-3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Sheet1!$AQ$19:$AQ$28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Sheet1!$AV$4:$AV$13</c:f>
              <c:numCache>
                <c:formatCode>0.000</c:formatCode>
                <c:ptCount val="10"/>
                <c:pt idx="0">
                  <c:v>0.03</c:v>
                </c:pt>
                <c:pt idx="1">
                  <c:v>3.5999999999999997E-2</c:v>
                </c:pt>
                <c:pt idx="2">
                  <c:v>0.03</c:v>
                </c:pt>
                <c:pt idx="3">
                  <c:v>3.4000000000000002E-2</c:v>
                </c:pt>
                <c:pt idx="4">
                  <c:v>2.7E-2</c:v>
                </c:pt>
                <c:pt idx="5">
                  <c:v>2.5000000000000001E-2</c:v>
                </c:pt>
                <c:pt idx="6">
                  <c:v>2.5000000000000001E-2</c:v>
                </c:pt>
                <c:pt idx="7">
                  <c:v>0.03</c:v>
                </c:pt>
                <c:pt idx="8">
                  <c:v>0.03</c:v>
                </c:pt>
                <c:pt idx="9">
                  <c:v>4.3999999999999997E-2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17-4711-BD48-025039DD7284}"/>
            </c:ext>
          </c:extLst>
        </c:ser>
        <c:ser>
          <c:idx val="1"/>
          <c:order val="1"/>
          <c:tx>
            <c:v>Expected Travel Time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elete val="1"/>
          </c:dLbls>
          <c:yVal>
            <c:numRef>
              <c:f>Sheet1!$AT$19:$AT$29</c:f>
              <c:numCache>
                <c:formatCode>General</c:formatCode>
                <c:ptCount val="11"/>
                <c:pt idx="0">
                  <c:v>3.5651586765698851E-2</c:v>
                </c:pt>
                <c:pt idx="1">
                  <c:v>3.5854152599594867E-2</c:v>
                </c:pt>
                <c:pt idx="2">
                  <c:v>3.6056718433490884E-2</c:v>
                </c:pt>
                <c:pt idx="3">
                  <c:v>3.6326806212018906E-2</c:v>
                </c:pt>
                <c:pt idx="4">
                  <c:v>3.6596893990546928E-2</c:v>
                </c:pt>
                <c:pt idx="5">
                  <c:v>3.686698176907495E-2</c:v>
                </c:pt>
                <c:pt idx="6">
                  <c:v>3.7204591492234977E-2</c:v>
                </c:pt>
                <c:pt idx="7">
                  <c:v>3.7542201215395005E-2</c:v>
                </c:pt>
                <c:pt idx="8">
                  <c:v>3.7812288993923027E-2</c:v>
                </c:pt>
                <c:pt idx="9">
                  <c:v>3.8082376772451049E-2</c:v>
                </c:pt>
                <c:pt idx="10">
                  <c:v>3.8352464550979064E-2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17-4711-BD48-025039DD72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axId val="720658959"/>
        <c:axId val="720659439"/>
      </c:scatterChart>
      <c:valAx>
        <c:axId val="720658959"/>
        <c:scaling>
          <c:orientation val="minMax"/>
          <c:max val="10.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Strike</a:t>
                </a:r>
                <a:r>
                  <a:rPr lang="en-US" sz="1200" baseline="0"/>
                  <a:t> Number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20659439"/>
        <c:crosses val="autoZero"/>
        <c:crossBetween val="midCat"/>
        <c:majorUnit val="1"/>
        <c:minorUnit val="1"/>
      </c:valAx>
      <c:valAx>
        <c:axId val="7206594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aseline="0"/>
                  <a:t>Sound Travel Time (s)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20658959"/>
        <c:crosses val="autoZero"/>
        <c:crossBetween val="midCat"/>
        <c:minorUnit val="5.000000000000001E-3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257620355976423"/>
          <c:y val="0.6526024021091209"/>
          <c:w val="0.17172244711463849"/>
          <c:h val="8.8232737546688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485774</xdr:colOff>
      <xdr:row>24</xdr:row>
      <xdr:rowOff>23811</xdr:rowOff>
    </xdr:from>
    <xdr:to>
      <xdr:col>23</xdr:col>
      <xdr:colOff>571499</xdr:colOff>
      <xdr:row>52</xdr:row>
      <xdr:rowOff>124776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6B6D56-B9B6-3DF2-F8B6-CC35989AA3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171450</xdr:colOff>
      <xdr:row>23</xdr:row>
      <xdr:rowOff>76200</xdr:rowOff>
    </xdr:from>
    <xdr:to>
      <xdr:col>34</xdr:col>
      <xdr:colOff>447675</xdr:colOff>
      <xdr:row>51</xdr:row>
      <xdr:rowOff>177165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67FBAB-C93C-49DC-9837-F5C3C55C2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1409700</xdr:colOff>
      <xdr:row>53</xdr:row>
      <xdr:rowOff>95250</xdr:rowOff>
    </xdr:from>
    <xdr:to>
      <xdr:col>39</xdr:col>
      <xdr:colOff>581025</xdr:colOff>
      <xdr:row>82</xdr:row>
      <xdr:rowOff>5715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4A2DC6-9FF5-4142-96E2-CFE09A581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342900</xdr:colOff>
      <xdr:row>83</xdr:row>
      <xdr:rowOff>142875</xdr:rowOff>
    </xdr:from>
    <xdr:to>
      <xdr:col>38</xdr:col>
      <xdr:colOff>123825</xdr:colOff>
      <xdr:row>112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6430C3-36BF-424B-AD20-270E9E74F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400706</xdr:colOff>
      <xdr:row>29</xdr:row>
      <xdr:rowOff>180481</xdr:rowOff>
    </xdr:from>
    <xdr:to>
      <xdr:col>55</xdr:col>
      <xdr:colOff>425218</xdr:colOff>
      <xdr:row>59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5F1BC0-A3D4-B22D-25B6-4C6904912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8DDF-07AF-4055-AD0F-81308EEB13A4}">
  <dimension ref="A1:BD106"/>
  <sheetViews>
    <sheetView tabSelected="1" topLeftCell="AL1" zoomScale="115" zoomScaleNormal="115" workbookViewId="0">
      <selection activeCell="BD28" sqref="BD28"/>
    </sheetView>
  </sheetViews>
  <sheetFormatPr defaultRowHeight="15" x14ac:dyDescent="0.25"/>
  <cols>
    <col min="7" max="7" width="10.140625" customWidth="1"/>
    <col min="8" max="10" width="10.7109375" customWidth="1"/>
    <col min="20" max="20" width="10.85546875" customWidth="1"/>
    <col min="25" max="25" width="11.28515625" customWidth="1"/>
    <col min="28" max="28" width="26.5703125" bestFit="1" customWidth="1"/>
    <col min="29" max="29" width="25.5703125" bestFit="1" customWidth="1"/>
    <col min="30" max="30" width="21.28515625" bestFit="1" customWidth="1"/>
    <col min="39" max="39" width="24.28515625" bestFit="1" customWidth="1"/>
    <col min="40" max="40" width="26" bestFit="1" customWidth="1"/>
    <col min="41" max="41" width="21.140625" bestFit="1" customWidth="1"/>
    <col min="42" max="42" width="19.42578125" bestFit="1" customWidth="1"/>
    <col min="43" max="43" width="16" customWidth="1"/>
    <col min="44" max="44" width="18.140625" customWidth="1"/>
    <col min="45" max="45" width="11.85546875" customWidth="1"/>
    <col min="46" max="46" width="17.5703125" customWidth="1"/>
    <col min="47" max="47" width="13.42578125" customWidth="1"/>
  </cols>
  <sheetData>
    <row r="1" spans="1:56" x14ac:dyDescent="0.25">
      <c r="A1" t="s">
        <v>0</v>
      </c>
      <c r="E1" t="s">
        <v>3</v>
      </c>
      <c r="I1" t="s">
        <v>4</v>
      </c>
      <c r="M1" t="s">
        <v>5</v>
      </c>
      <c r="Q1" t="s">
        <v>6</v>
      </c>
    </row>
    <row r="2" spans="1:56" ht="15.75" thickBot="1" x14ac:dyDescent="0.3">
      <c r="A2" t="s">
        <v>1</v>
      </c>
      <c r="B2" t="s">
        <v>2</v>
      </c>
      <c r="D2" t="s">
        <v>11</v>
      </c>
      <c r="E2" t="s">
        <v>1</v>
      </c>
      <c r="F2" t="s">
        <v>2</v>
      </c>
      <c r="H2" t="s">
        <v>8</v>
      </c>
      <c r="I2" t="s">
        <v>7</v>
      </c>
      <c r="J2" t="s">
        <v>2</v>
      </c>
      <c r="L2" t="s">
        <v>9</v>
      </c>
      <c r="M2" t="s">
        <v>1</v>
      </c>
      <c r="N2" t="s">
        <v>2</v>
      </c>
      <c r="P2" t="s">
        <v>10</v>
      </c>
      <c r="Q2" t="s">
        <v>1</v>
      </c>
      <c r="R2" t="s">
        <v>2</v>
      </c>
      <c r="T2" t="s">
        <v>12</v>
      </c>
      <c r="V2" t="s">
        <v>1</v>
      </c>
      <c r="W2" t="s">
        <v>13</v>
      </c>
      <c r="X2" t="s">
        <v>14</v>
      </c>
      <c r="AF2" t="s">
        <v>1</v>
      </c>
      <c r="AG2" t="s">
        <v>13</v>
      </c>
      <c r="AH2" t="s">
        <v>14</v>
      </c>
      <c r="AK2" s="15">
        <v>0.95</v>
      </c>
      <c r="AL2" s="8">
        <v>5</v>
      </c>
    </row>
    <row r="3" spans="1:56" ht="39.75" thickBot="1" x14ac:dyDescent="0.3">
      <c r="A3">
        <v>0</v>
      </c>
      <c r="B3">
        <v>0</v>
      </c>
      <c r="E3">
        <v>0</v>
      </c>
      <c r="F3">
        <v>0</v>
      </c>
      <c r="I3">
        <v>0</v>
      </c>
      <c r="J3">
        <v>0</v>
      </c>
      <c r="M3">
        <v>0</v>
      </c>
      <c r="N3">
        <v>0</v>
      </c>
      <c r="Q3">
        <v>0</v>
      </c>
      <c r="R3">
        <v>0</v>
      </c>
      <c r="V3">
        <v>0</v>
      </c>
      <c r="W3">
        <v>0</v>
      </c>
      <c r="X3">
        <v>0</v>
      </c>
      <c r="Z3" s="2" t="s">
        <v>15</v>
      </c>
      <c r="AA3" s="2" t="s">
        <v>17</v>
      </c>
      <c r="AB3" s="3" t="s">
        <v>16</v>
      </c>
      <c r="AC3" s="3" t="s">
        <v>34</v>
      </c>
      <c r="AF3" s="8">
        <v>0</v>
      </c>
      <c r="AG3" s="8">
        <v>0</v>
      </c>
      <c r="AH3" s="8">
        <v>0</v>
      </c>
      <c r="AK3" s="15">
        <v>0.95</v>
      </c>
      <c r="AL3" s="8">
        <v>5</v>
      </c>
      <c r="AS3" s="21" t="s">
        <v>40</v>
      </c>
      <c r="AT3" s="21" t="s">
        <v>44</v>
      </c>
      <c r="AU3" s="21" t="s">
        <v>45</v>
      </c>
      <c r="AV3" s="21" t="s">
        <v>38</v>
      </c>
      <c r="AW3" s="21" t="s">
        <v>39</v>
      </c>
      <c r="AX3" s="21" t="s">
        <v>46</v>
      </c>
      <c r="AY3" s="25"/>
      <c r="AZ3" s="25"/>
    </row>
    <row r="4" spans="1:56" x14ac:dyDescent="0.25">
      <c r="A4">
        <v>0.05</v>
      </c>
      <c r="B4">
        <v>0</v>
      </c>
      <c r="E4">
        <v>0.05</v>
      </c>
      <c r="F4">
        <v>0</v>
      </c>
      <c r="I4">
        <v>0.05</v>
      </c>
      <c r="J4">
        <v>0</v>
      </c>
      <c r="M4">
        <v>0.05</v>
      </c>
      <c r="N4">
        <v>0</v>
      </c>
      <c r="Q4">
        <v>0.05</v>
      </c>
      <c r="R4">
        <v>0</v>
      </c>
      <c r="V4">
        <v>0.05</v>
      </c>
      <c r="W4">
        <v>0</v>
      </c>
      <c r="X4">
        <v>0</v>
      </c>
      <c r="Z4" s="4">
        <v>0</v>
      </c>
      <c r="AA4" s="4">
        <v>0</v>
      </c>
      <c r="AB4" s="5">
        <v>0</v>
      </c>
      <c r="AC4" s="5" t="s">
        <v>33</v>
      </c>
      <c r="AF4" s="8">
        <v>0.05</v>
      </c>
      <c r="AG4">
        <v>0.21000000000000002</v>
      </c>
      <c r="AH4">
        <v>0.21330729007701546</v>
      </c>
      <c r="AK4" s="15">
        <v>0.95</v>
      </c>
      <c r="AL4" s="8">
        <v>5</v>
      </c>
      <c r="AS4" s="35">
        <v>1</v>
      </c>
      <c r="AT4" s="36">
        <v>1.887</v>
      </c>
      <c r="AU4" s="36">
        <v>1.917</v>
      </c>
      <c r="AV4" s="37">
        <v>0.03</v>
      </c>
      <c r="AW4" s="36">
        <v>52.8</v>
      </c>
      <c r="AX4" s="38">
        <v>1760</v>
      </c>
      <c r="AY4" s="20"/>
      <c r="AZ4" s="20"/>
    </row>
    <row r="5" spans="1:56" ht="15.75" thickBot="1" x14ac:dyDescent="0.3">
      <c r="A5">
        <v>0.1</v>
      </c>
      <c r="B5">
        <v>0</v>
      </c>
      <c r="E5">
        <v>0.1</v>
      </c>
      <c r="F5">
        <v>0</v>
      </c>
      <c r="I5">
        <v>0.1</v>
      </c>
      <c r="J5">
        <v>0</v>
      </c>
      <c r="M5">
        <v>0.1</v>
      </c>
      <c r="N5">
        <v>0</v>
      </c>
      <c r="Q5">
        <v>0.1</v>
      </c>
      <c r="R5">
        <v>0</v>
      </c>
      <c r="V5">
        <v>0.1</v>
      </c>
      <c r="W5">
        <v>0</v>
      </c>
      <c r="X5">
        <v>0</v>
      </c>
      <c r="Z5" s="4">
        <v>0.05</v>
      </c>
      <c r="AA5" s="4">
        <v>0</v>
      </c>
      <c r="AB5" s="5">
        <v>0</v>
      </c>
      <c r="AC5" s="5" t="s">
        <v>33</v>
      </c>
      <c r="AF5">
        <v>0.1</v>
      </c>
      <c r="AG5">
        <v>0.6825</v>
      </c>
      <c r="AH5">
        <v>0.37253187783060931</v>
      </c>
      <c r="AK5" s="15">
        <v>0.95</v>
      </c>
      <c r="AL5" s="8">
        <v>5</v>
      </c>
      <c r="AS5" s="26">
        <v>2</v>
      </c>
      <c r="AT5" s="27">
        <v>3.117</v>
      </c>
      <c r="AU5" s="27">
        <v>3.153</v>
      </c>
      <c r="AV5" s="28">
        <v>3.5999999999999997E-2</v>
      </c>
      <c r="AW5" s="27">
        <v>53.1</v>
      </c>
      <c r="AX5" s="29">
        <v>1475</v>
      </c>
      <c r="AY5" s="20"/>
      <c r="AZ5" s="20"/>
    </row>
    <row r="6" spans="1:56" ht="27" thickBot="1" x14ac:dyDescent="0.3">
      <c r="A6">
        <v>0.15</v>
      </c>
      <c r="B6">
        <v>0</v>
      </c>
      <c r="E6">
        <v>0.15</v>
      </c>
      <c r="F6">
        <v>0</v>
      </c>
      <c r="I6">
        <v>0.15</v>
      </c>
      <c r="J6">
        <v>0</v>
      </c>
      <c r="M6">
        <v>0.15</v>
      </c>
      <c r="N6">
        <v>0</v>
      </c>
      <c r="Q6">
        <v>0.15</v>
      </c>
      <c r="R6">
        <v>0</v>
      </c>
      <c r="V6">
        <v>0.15</v>
      </c>
      <c r="W6">
        <v>0</v>
      </c>
      <c r="X6">
        <v>0</v>
      </c>
      <c r="Z6" s="4">
        <v>0.1</v>
      </c>
      <c r="AA6" s="4">
        <v>0</v>
      </c>
      <c r="AB6" s="5">
        <v>0</v>
      </c>
      <c r="AC6" s="5" t="s">
        <v>33</v>
      </c>
      <c r="AF6">
        <v>0.15</v>
      </c>
      <c r="AG6">
        <v>1.5</v>
      </c>
      <c r="AH6">
        <v>0.55338052007637584</v>
      </c>
      <c r="AK6" s="15">
        <v>0.95</v>
      </c>
      <c r="AL6" s="8">
        <v>5</v>
      </c>
      <c r="AS6" s="26">
        <v>3</v>
      </c>
      <c r="AT6" s="27">
        <v>4.484</v>
      </c>
      <c r="AU6" s="27">
        <v>4.5140000000000002</v>
      </c>
      <c r="AV6" s="28">
        <v>0.03</v>
      </c>
      <c r="AW6" s="27">
        <v>53.4</v>
      </c>
      <c r="AX6" s="29">
        <v>1780</v>
      </c>
      <c r="AY6" s="20"/>
      <c r="AZ6" s="20"/>
      <c r="BC6" s="21" t="s">
        <v>36</v>
      </c>
      <c r="BD6" s="21" t="s">
        <v>37</v>
      </c>
    </row>
    <row r="7" spans="1:56" ht="15.75" thickBot="1" x14ac:dyDescent="0.3">
      <c r="A7">
        <v>0.2</v>
      </c>
      <c r="B7">
        <v>0</v>
      </c>
      <c r="E7">
        <v>0.2</v>
      </c>
      <c r="F7">
        <v>0</v>
      </c>
      <c r="I7">
        <v>0.2</v>
      </c>
      <c r="J7">
        <v>0</v>
      </c>
      <c r="M7">
        <v>0.2</v>
      </c>
      <c r="N7">
        <v>0</v>
      </c>
      <c r="Q7">
        <v>0.2</v>
      </c>
      <c r="R7">
        <v>0</v>
      </c>
      <c r="V7">
        <v>0.2</v>
      </c>
      <c r="W7">
        <v>0</v>
      </c>
      <c r="X7">
        <v>0</v>
      </c>
      <c r="Z7" s="4">
        <v>0.15</v>
      </c>
      <c r="AA7" s="4">
        <v>0</v>
      </c>
      <c r="AB7" s="5">
        <v>0</v>
      </c>
      <c r="AC7" s="5" t="s">
        <v>33</v>
      </c>
      <c r="AF7">
        <v>0.2</v>
      </c>
      <c r="AG7">
        <v>3.0520000000000005</v>
      </c>
      <c r="AH7">
        <v>0.70729767425038137</v>
      </c>
      <c r="AK7" s="15">
        <v>0.95</v>
      </c>
      <c r="AL7" s="8">
        <v>5</v>
      </c>
      <c r="AS7" s="26">
        <v>4</v>
      </c>
      <c r="AT7" s="27">
        <v>5.8780000000000001</v>
      </c>
      <c r="AU7" s="27">
        <v>5.9119999999999999</v>
      </c>
      <c r="AV7" s="28">
        <v>3.4000000000000002E-2</v>
      </c>
      <c r="AW7" s="27">
        <v>53.8</v>
      </c>
      <c r="AX7" s="30">
        <v>1582.3529410000001</v>
      </c>
      <c r="AY7" s="20"/>
      <c r="AZ7" s="20"/>
      <c r="BC7" s="24">
        <v>1799.4578529999999</v>
      </c>
      <c r="BD7" s="23">
        <v>3.1099999999999999E-2</v>
      </c>
    </row>
    <row r="8" spans="1:56" ht="15.75" thickBot="1" x14ac:dyDescent="0.3">
      <c r="A8">
        <v>0.25</v>
      </c>
      <c r="B8">
        <v>0</v>
      </c>
      <c r="E8">
        <v>0.25</v>
      </c>
      <c r="F8">
        <v>0</v>
      </c>
      <c r="I8">
        <v>0.25</v>
      </c>
      <c r="J8">
        <v>0</v>
      </c>
      <c r="M8">
        <v>0.25</v>
      </c>
      <c r="N8">
        <v>0</v>
      </c>
      <c r="Q8">
        <v>0.25</v>
      </c>
      <c r="R8">
        <v>0</v>
      </c>
      <c r="V8">
        <v>0.25</v>
      </c>
      <c r="W8">
        <v>0</v>
      </c>
      <c r="X8">
        <v>0</v>
      </c>
      <c r="Z8" s="4">
        <v>0.2</v>
      </c>
      <c r="AA8" s="4">
        <v>0</v>
      </c>
      <c r="AB8" s="5">
        <v>0</v>
      </c>
      <c r="AC8" s="5" t="s">
        <v>33</v>
      </c>
      <c r="AF8">
        <v>0.25</v>
      </c>
      <c r="AG8">
        <v>4.5919999999999996</v>
      </c>
      <c r="AH8">
        <v>0.78202941121162695</v>
      </c>
      <c r="AK8" s="15">
        <v>0.95</v>
      </c>
      <c r="AL8" s="8">
        <v>5</v>
      </c>
      <c r="AS8" s="26">
        <v>5</v>
      </c>
      <c r="AT8" s="27">
        <v>8.8629999999999995</v>
      </c>
      <c r="AU8" s="27">
        <v>8.89</v>
      </c>
      <c r="AV8" s="28">
        <v>2.7E-2</v>
      </c>
      <c r="AW8" s="27">
        <v>54.2</v>
      </c>
      <c r="AX8" s="30">
        <v>2007.4074069999999</v>
      </c>
      <c r="AY8" s="20"/>
      <c r="AZ8" s="20"/>
      <c r="BC8" s="22"/>
      <c r="BD8" s="22"/>
    </row>
    <row r="9" spans="1:56" ht="39.75" thickBot="1" x14ac:dyDescent="0.3">
      <c r="A9">
        <v>0.3</v>
      </c>
      <c r="B9">
        <v>0</v>
      </c>
      <c r="E9">
        <v>0.3</v>
      </c>
      <c r="F9">
        <v>0</v>
      </c>
      <c r="I9">
        <v>0.3</v>
      </c>
      <c r="J9">
        <v>0</v>
      </c>
      <c r="M9">
        <v>0.3</v>
      </c>
      <c r="N9">
        <v>0</v>
      </c>
      <c r="Q9">
        <v>0.3</v>
      </c>
      <c r="R9">
        <v>0</v>
      </c>
      <c r="V9">
        <v>0.3</v>
      </c>
      <c r="W9">
        <v>0</v>
      </c>
      <c r="X9">
        <v>0</v>
      </c>
      <c r="Z9" s="4">
        <v>0.25</v>
      </c>
      <c r="AA9" s="4">
        <v>0</v>
      </c>
      <c r="AB9" s="5">
        <v>0</v>
      </c>
      <c r="AC9" s="5" t="s">
        <v>33</v>
      </c>
      <c r="AF9" s="8">
        <v>0.3</v>
      </c>
      <c r="AG9">
        <v>6.3439999999999994</v>
      </c>
      <c r="AH9">
        <v>0.88001704528946623</v>
      </c>
      <c r="AK9" s="15">
        <v>0.95</v>
      </c>
      <c r="AL9" s="8">
        <v>5</v>
      </c>
      <c r="AS9" s="26">
        <v>6</v>
      </c>
      <c r="AT9" s="27">
        <v>11.914999999999999</v>
      </c>
      <c r="AU9" s="27">
        <v>11.94</v>
      </c>
      <c r="AV9" s="28">
        <v>2.5000000000000001E-2</v>
      </c>
      <c r="AW9" s="27">
        <v>54.6</v>
      </c>
      <c r="AX9" s="29">
        <v>2184</v>
      </c>
      <c r="AY9" s="20"/>
      <c r="AZ9" s="20"/>
      <c r="BC9" s="21" t="s">
        <v>41</v>
      </c>
      <c r="BD9" s="39" t="s">
        <v>47</v>
      </c>
    </row>
    <row r="10" spans="1:56" ht="15.75" thickBot="1" x14ac:dyDescent="0.3">
      <c r="A10">
        <v>0.35</v>
      </c>
      <c r="B10">
        <v>0</v>
      </c>
      <c r="E10">
        <v>0.35</v>
      </c>
      <c r="F10">
        <v>0</v>
      </c>
      <c r="I10">
        <v>0.35</v>
      </c>
      <c r="J10">
        <v>0</v>
      </c>
      <c r="M10">
        <v>0.35</v>
      </c>
      <c r="N10">
        <v>0</v>
      </c>
      <c r="Q10">
        <v>0.35</v>
      </c>
      <c r="R10">
        <v>0</v>
      </c>
      <c r="V10">
        <v>0.35</v>
      </c>
      <c r="W10">
        <v>0</v>
      </c>
      <c r="X10">
        <v>0</v>
      </c>
      <c r="Z10" s="4">
        <v>0.3</v>
      </c>
      <c r="AA10" s="4">
        <v>0</v>
      </c>
      <c r="AB10" s="5">
        <v>0</v>
      </c>
      <c r="AC10" s="5" t="s">
        <v>33</v>
      </c>
      <c r="AF10">
        <v>0.35</v>
      </c>
      <c r="AG10">
        <v>8.1860000000000017</v>
      </c>
      <c r="AH10">
        <v>0.97351425259211943</v>
      </c>
      <c r="AK10" s="15">
        <v>0.95</v>
      </c>
      <c r="AL10" s="8">
        <v>5</v>
      </c>
      <c r="AS10" s="26">
        <v>7</v>
      </c>
      <c r="AT10" s="27">
        <v>13.587999999999999</v>
      </c>
      <c r="AU10" s="27">
        <v>13.613</v>
      </c>
      <c r="AV10" s="28">
        <v>2.5000000000000001E-2</v>
      </c>
      <c r="AW10" s="27">
        <v>55.1</v>
      </c>
      <c r="AX10" s="29">
        <v>2204</v>
      </c>
      <c r="AY10" s="20"/>
      <c r="AZ10" s="20"/>
      <c r="BC10" s="24">
        <v>295.23689569999999</v>
      </c>
      <c r="BD10" s="23">
        <v>5.7242175590000001E-3</v>
      </c>
    </row>
    <row r="11" spans="1:56" ht="15.75" thickBot="1" x14ac:dyDescent="0.3">
      <c r="A11">
        <v>0.4</v>
      </c>
      <c r="B11">
        <v>0</v>
      </c>
      <c r="E11">
        <v>0.4</v>
      </c>
      <c r="F11">
        <v>0</v>
      </c>
      <c r="I11">
        <v>0.4</v>
      </c>
      <c r="J11">
        <v>0</v>
      </c>
      <c r="M11">
        <v>0.4</v>
      </c>
      <c r="N11">
        <v>0</v>
      </c>
      <c r="Q11">
        <v>0.4</v>
      </c>
      <c r="R11">
        <v>0</v>
      </c>
      <c r="V11">
        <v>0.4</v>
      </c>
      <c r="W11">
        <v>0</v>
      </c>
      <c r="X11">
        <v>0</v>
      </c>
      <c r="Z11" s="4">
        <v>0.35</v>
      </c>
      <c r="AA11" s="4">
        <v>0</v>
      </c>
      <c r="AB11" s="5">
        <v>0</v>
      </c>
      <c r="AC11" s="5" t="s">
        <v>33</v>
      </c>
      <c r="AF11">
        <v>0.4</v>
      </c>
      <c r="AG11">
        <v>10.233999999999998</v>
      </c>
      <c r="AH11">
        <v>1.0864989645646244</v>
      </c>
      <c r="AK11" s="15">
        <v>0.95</v>
      </c>
      <c r="AL11" s="8">
        <v>5</v>
      </c>
      <c r="AS11" s="26">
        <v>8</v>
      </c>
      <c r="AT11" s="27">
        <v>15.323</v>
      </c>
      <c r="AU11" s="27">
        <v>15.353</v>
      </c>
      <c r="AV11" s="28">
        <v>0.03</v>
      </c>
      <c r="AW11" s="27">
        <v>55.6</v>
      </c>
      <c r="AX11" s="30">
        <v>1853.333333</v>
      </c>
      <c r="AY11" s="20"/>
      <c r="AZ11" s="20"/>
      <c r="BC11" s="22"/>
      <c r="BD11" s="22"/>
    </row>
    <row r="12" spans="1:56" ht="39.75" thickBot="1" x14ac:dyDescent="0.3">
      <c r="A12">
        <v>0.45</v>
      </c>
      <c r="B12">
        <v>0</v>
      </c>
      <c r="E12">
        <v>0.45</v>
      </c>
      <c r="F12">
        <v>0</v>
      </c>
      <c r="I12">
        <v>0.45</v>
      </c>
      <c r="J12">
        <v>0</v>
      </c>
      <c r="M12">
        <v>0.45</v>
      </c>
      <c r="N12">
        <v>0</v>
      </c>
      <c r="Q12">
        <v>0.45</v>
      </c>
      <c r="R12">
        <v>0</v>
      </c>
      <c r="V12">
        <v>0.45</v>
      </c>
      <c r="W12">
        <v>0</v>
      </c>
      <c r="X12">
        <v>0</v>
      </c>
      <c r="Z12" s="4">
        <v>0.4</v>
      </c>
      <c r="AA12" s="4">
        <v>0</v>
      </c>
      <c r="AB12" s="5">
        <v>0</v>
      </c>
      <c r="AC12" s="5" t="s">
        <v>33</v>
      </c>
      <c r="AF12">
        <v>0.45</v>
      </c>
      <c r="AG12">
        <v>12.346</v>
      </c>
      <c r="AH12">
        <v>1.1366969692930484</v>
      </c>
      <c r="AK12" s="15">
        <v>0.95</v>
      </c>
      <c r="AL12" s="8">
        <v>5</v>
      </c>
      <c r="AS12" s="26">
        <v>9</v>
      </c>
      <c r="AT12" s="27">
        <v>17.009</v>
      </c>
      <c r="AU12" s="27">
        <v>17.039000000000001</v>
      </c>
      <c r="AV12" s="28">
        <v>0.03</v>
      </c>
      <c r="AW12" s="27">
        <v>56</v>
      </c>
      <c r="AX12" s="30">
        <v>1866.666667</v>
      </c>
      <c r="AY12" s="20"/>
      <c r="AZ12" s="20"/>
      <c r="BC12" s="21" t="s">
        <v>42</v>
      </c>
      <c r="BD12" s="21" t="s">
        <v>43</v>
      </c>
    </row>
    <row r="13" spans="1:56" ht="15.75" thickBot="1" x14ac:dyDescent="0.3">
      <c r="A13">
        <v>0.5</v>
      </c>
      <c r="B13">
        <v>0.45</v>
      </c>
      <c r="E13">
        <v>0.5</v>
      </c>
      <c r="F13">
        <v>0</v>
      </c>
      <c r="I13">
        <v>0.5</v>
      </c>
      <c r="J13">
        <v>0.4</v>
      </c>
      <c r="M13">
        <v>0.5</v>
      </c>
      <c r="N13">
        <v>0</v>
      </c>
      <c r="Q13">
        <v>0.5</v>
      </c>
      <c r="R13">
        <v>0.2</v>
      </c>
      <c r="V13">
        <v>0.5</v>
      </c>
      <c r="W13">
        <f>AVERAGE(R13,N13,J13,F13,B13)</f>
        <v>0.21000000000000002</v>
      </c>
      <c r="X13">
        <f t="shared" ref="X13:X21" si="0">_xlfn.STDEV.S(R13,N13,J13,F13,B13)</f>
        <v>0.21330729007701546</v>
      </c>
      <c r="Z13" s="4">
        <v>0.45</v>
      </c>
      <c r="AA13" s="4">
        <v>0</v>
      </c>
      <c r="AB13" s="5">
        <v>0</v>
      </c>
      <c r="AC13" s="5" t="s">
        <v>33</v>
      </c>
      <c r="AK13" s="15">
        <v>0.95</v>
      </c>
      <c r="AL13" s="8">
        <v>5</v>
      </c>
      <c r="AS13" s="31">
        <v>10</v>
      </c>
      <c r="AT13" s="32">
        <v>18.779</v>
      </c>
      <c r="AU13" s="32">
        <v>18.823</v>
      </c>
      <c r="AV13" s="33">
        <v>4.3999999999999997E-2</v>
      </c>
      <c r="AW13" s="32">
        <v>56.4</v>
      </c>
      <c r="AX13" s="34">
        <v>1281.818182</v>
      </c>
      <c r="AY13" s="20"/>
      <c r="AZ13" s="20"/>
      <c r="BC13" s="24">
        <v>211.19975220000001</v>
      </c>
      <c r="BD13" s="23">
        <v>4.0948585620000002E-3</v>
      </c>
    </row>
    <row r="14" spans="1:56" x14ac:dyDescent="0.25">
      <c r="A14">
        <v>0.55000000000000004</v>
      </c>
      <c r="B14">
        <v>1.4</v>
      </c>
      <c r="E14">
        <v>0.55000000000000004</v>
      </c>
      <c r="F14">
        <v>0.61</v>
      </c>
      <c r="I14">
        <v>0.55000000000000004</v>
      </c>
      <c r="J14">
        <v>1</v>
      </c>
      <c r="M14">
        <v>0.55000000000000004</v>
      </c>
      <c r="N14">
        <v>0.5</v>
      </c>
      <c r="Q14">
        <v>0.55000000000000004</v>
      </c>
      <c r="R14">
        <v>0.62</v>
      </c>
      <c r="V14">
        <v>0.55000000000000004</v>
      </c>
      <c r="W14">
        <f>AVERAGE(R14,N14,J14,F14)</f>
        <v>0.6825</v>
      </c>
      <c r="X14">
        <f t="shared" si="0"/>
        <v>0.37253187783060931</v>
      </c>
      <c r="Z14" s="4">
        <v>0.5</v>
      </c>
      <c r="AA14" s="4">
        <v>0.21000000000000002</v>
      </c>
      <c r="AB14" s="5">
        <v>0.21330729007701546</v>
      </c>
      <c r="AC14" s="5">
        <f t="shared" ref="AC14:AC22" si="1">_xlfn.CONFIDENCE.NORM(1-AK2,X13,AL2)</f>
        <v>0.18696864782181138</v>
      </c>
      <c r="AK14" s="15">
        <v>0.95</v>
      </c>
      <c r="AL14" s="8">
        <v>5</v>
      </c>
      <c r="BC14" s="20"/>
      <c r="BD14" s="20"/>
    </row>
    <row r="15" spans="1:56" x14ac:dyDescent="0.25">
      <c r="A15">
        <v>0.6</v>
      </c>
      <c r="B15">
        <v>2.63</v>
      </c>
      <c r="E15">
        <v>0.6</v>
      </c>
      <c r="F15">
        <v>1.31</v>
      </c>
      <c r="I15">
        <v>0.6</v>
      </c>
      <c r="J15">
        <v>2</v>
      </c>
      <c r="M15">
        <v>0.6</v>
      </c>
      <c r="N15">
        <v>1.4</v>
      </c>
      <c r="Q15">
        <v>0.6</v>
      </c>
      <c r="R15">
        <v>1.48</v>
      </c>
      <c r="V15">
        <v>0.6</v>
      </c>
      <c r="W15">
        <f>AVERAGE(R15,N15,J15,F15,F15)</f>
        <v>1.5</v>
      </c>
      <c r="X15">
        <f t="shared" si="0"/>
        <v>0.55338052007637584</v>
      </c>
      <c r="Z15" s="4">
        <v>0.55000000000000004</v>
      </c>
      <c r="AA15" s="4">
        <v>0.6825</v>
      </c>
      <c r="AB15" s="5">
        <v>0.37253187783060931</v>
      </c>
      <c r="AC15" s="5">
        <f t="shared" si="1"/>
        <v>0.32653258800185025</v>
      </c>
      <c r="AG15" s="15"/>
      <c r="AK15" s="15">
        <v>0.95</v>
      </c>
      <c r="AL15" s="8">
        <v>5</v>
      </c>
      <c r="BC15" s="20"/>
      <c r="BD15" s="20"/>
    </row>
    <row r="16" spans="1:56" x14ac:dyDescent="0.25">
      <c r="A16">
        <v>0.65</v>
      </c>
      <c r="B16">
        <v>4.0999999999999996</v>
      </c>
      <c r="E16">
        <v>0.65</v>
      </c>
      <c r="F16">
        <v>2.4</v>
      </c>
      <c r="I16">
        <v>0.65</v>
      </c>
      <c r="J16">
        <v>3.45</v>
      </c>
      <c r="M16">
        <v>0.65</v>
      </c>
      <c r="N16">
        <v>2.61</v>
      </c>
      <c r="Q16">
        <v>0.65</v>
      </c>
      <c r="R16">
        <v>2.7</v>
      </c>
      <c r="V16">
        <v>0.65</v>
      </c>
      <c r="W16">
        <f t="shared" ref="W16:W21" si="2">AVERAGE(R16,N16,J16,F16,B16)</f>
        <v>3.0520000000000005</v>
      </c>
      <c r="X16">
        <f t="shared" si="0"/>
        <v>0.70729767425038137</v>
      </c>
      <c r="Z16" s="4">
        <v>0.6</v>
      </c>
      <c r="AA16" s="4">
        <v>1.5</v>
      </c>
      <c r="AB16" s="5">
        <v>0.55338052007637584</v>
      </c>
      <c r="AC16" s="5">
        <f t="shared" si="1"/>
        <v>0.48505049936293482</v>
      </c>
      <c r="AG16" s="8"/>
      <c r="AK16" s="15">
        <v>0.95</v>
      </c>
      <c r="AL16" s="8">
        <v>5</v>
      </c>
      <c r="BC16" s="20"/>
      <c r="BD16" s="20"/>
    </row>
    <row r="17" spans="1:54" x14ac:dyDescent="0.25">
      <c r="A17">
        <v>0.7</v>
      </c>
      <c r="B17">
        <v>5.75</v>
      </c>
      <c r="E17">
        <v>0.7</v>
      </c>
      <c r="F17">
        <v>3.81</v>
      </c>
      <c r="I17">
        <v>0.7</v>
      </c>
      <c r="J17">
        <v>5</v>
      </c>
      <c r="M17">
        <v>0.7</v>
      </c>
      <c r="N17">
        <v>4.0999999999999996</v>
      </c>
      <c r="Q17">
        <v>0.7</v>
      </c>
      <c r="R17">
        <v>4.3</v>
      </c>
      <c r="V17">
        <v>0.7</v>
      </c>
      <c r="W17">
        <f t="shared" si="2"/>
        <v>4.5919999999999996</v>
      </c>
      <c r="X17">
        <f t="shared" si="0"/>
        <v>0.78202941121162695</v>
      </c>
      <c r="Z17" s="4">
        <v>0.65</v>
      </c>
      <c r="AA17" s="4">
        <v>3.0520000000000005</v>
      </c>
      <c r="AB17" s="5">
        <v>0.70729767425038137</v>
      </c>
      <c r="AC17" s="5">
        <f t="shared" si="1"/>
        <v>0.61996235437785152</v>
      </c>
      <c r="AK17" s="15">
        <v>0.95</v>
      </c>
      <c r="AL17" s="8">
        <v>5</v>
      </c>
    </row>
    <row r="18" spans="1:54" ht="15.75" thickBot="1" x14ac:dyDescent="0.3">
      <c r="A18">
        <v>0.75</v>
      </c>
      <c r="B18">
        <v>7.62</v>
      </c>
      <c r="E18">
        <v>0.75</v>
      </c>
      <c r="F18">
        <v>5.45</v>
      </c>
      <c r="I18">
        <v>0.75</v>
      </c>
      <c r="J18">
        <v>6.85</v>
      </c>
      <c r="M18">
        <v>0.75</v>
      </c>
      <c r="N18">
        <v>5.8</v>
      </c>
      <c r="Q18">
        <v>0.75</v>
      </c>
      <c r="R18">
        <v>6</v>
      </c>
      <c r="V18">
        <v>0.75</v>
      </c>
      <c r="W18">
        <f t="shared" si="2"/>
        <v>6.3439999999999994</v>
      </c>
      <c r="X18">
        <f t="shared" si="0"/>
        <v>0.88001704528946623</v>
      </c>
      <c r="Z18" s="4">
        <v>0.7</v>
      </c>
      <c r="AA18" s="4">
        <v>4.5919999999999996</v>
      </c>
      <c r="AB18" s="5">
        <v>0.78202941121162695</v>
      </c>
      <c r="AC18" s="5">
        <f t="shared" si="1"/>
        <v>0.68546640632082323</v>
      </c>
      <c r="AK18" s="15">
        <v>0.95</v>
      </c>
      <c r="AL18" s="8">
        <v>5</v>
      </c>
    </row>
    <row r="19" spans="1:54" ht="39.75" thickBot="1" x14ac:dyDescent="0.3">
      <c r="A19">
        <v>0.8</v>
      </c>
      <c r="B19">
        <v>9.5500000000000007</v>
      </c>
      <c r="E19">
        <v>0.8</v>
      </c>
      <c r="F19">
        <v>7.15</v>
      </c>
      <c r="I19">
        <v>0.8</v>
      </c>
      <c r="J19">
        <v>8.8000000000000007</v>
      </c>
      <c r="M19">
        <v>0.8</v>
      </c>
      <c r="N19">
        <v>7.58</v>
      </c>
      <c r="Q19">
        <v>0.8</v>
      </c>
      <c r="R19">
        <v>7.85</v>
      </c>
      <c r="V19">
        <v>0.8</v>
      </c>
      <c r="W19">
        <f t="shared" si="2"/>
        <v>8.1860000000000017</v>
      </c>
      <c r="X19">
        <f t="shared" si="0"/>
        <v>0.97351425259211943</v>
      </c>
      <c r="Z19" s="4">
        <v>0.75</v>
      </c>
      <c r="AA19" s="4">
        <v>6.3439999999999994</v>
      </c>
      <c r="AB19" s="5">
        <v>0.88001704528946623</v>
      </c>
      <c r="AC19" s="5">
        <f t="shared" si="1"/>
        <v>0.77135477628781945</v>
      </c>
      <c r="AK19" s="15">
        <v>0.95</v>
      </c>
      <c r="AL19" s="8">
        <v>5</v>
      </c>
      <c r="AQ19">
        <v>1</v>
      </c>
      <c r="AR19" s="18">
        <v>0.03</v>
      </c>
      <c r="AS19" s="17">
        <v>52.8</v>
      </c>
      <c r="AT19">
        <f>AS19/1481</f>
        <v>3.5651586765698851E-2</v>
      </c>
      <c r="BA19" s="21" t="s">
        <v>36</v>
      </c>
      <c r="BB19" s="21" t="s">
        <v>48</v>
      </c>
    </row>
    <row r="20" spans="1:54" ht="15.75" thickBot="1" x14ac:dyDescent="0.3">
      <c r="A20">
        <v>0.85</v>
      </c>
      <c r="B20">
        <v>11.83</v>
      </c>
      <c r="E20">
        <v>0.85</v>
      </c>
      <c r="F20">
        <v>9.1199999999999992</v>
      </c>
      <c r="I20">
        <v>0.85</v>
      </c>
      <c r="J20">
        <v>10.82</v>
      </c>
      <c r="M20">
        <v>0.85</v>
      </c>
      <c r="N20">
        <v>9.6</v>
      </c>
      <c r="Q20">
        <v>0.85</v>
      </c>
      <c r="R20">
        <v>9.8000000000000007</v>
      </c>
      <c r="V20">
        <v>0.85</v>
      </c>
      <c r="W20">
        <f t="shared" si="2"/>
        <v>10.233999999999998</v>
      </c>
      <c r="X20">
        <f t="shared" si="0"/>
        <v>1.0864989645646244</v>
      </c>
      <c r="Z20" s="4">
        <v>0.8</v>
      </c>
      <c r="AA20" s="4">
        <v>8.1860000000000017</v>
      </c>
      <c r="AB20" s="5">
        <v>0.97351425259211943</v>
      </c>
      <c r="AC20" s="5">
        <f t="shared" si="1"/>
        <v>0.85330718596955624</v>
      </c>
      <c r="AF20" s="15"/>
      <c r="AQ20">
        <v>2</v>
      </c>
      <c r="AR20" s="18">
        <v>3.5999999999999997E-2</v>
      </c>
      <c r="AS20" s="17">
        <v>53.1</v>
      </c>
      <c r="AT20">
        <f t="shared" ref="AT20:AT29" si="3">AS20/1481</f>
        <v>3.5854152599594867E-2</v>
      </c>
      <c r="BA20" s="24">
        <v>1799.4578529999999</v>
      </c>
      <c r="BB20" s="23">
        <v>3.1099999999999999E-2</v>
      </c>
    </row>
    <row r="21" spans="1:54" ht="39.75" thickBot="1" x14ac:dyDescent="0.3">
      <c r="A21">
        <v>0.9</v>
      </c>
      <c r="B21">
        <v>13.88</v>
      </c>
      <c r="E21">
        <v>0.9</v>
      </c>
      <c r="F21">
        <v>11.1</v>
      </c>
      <c r="I21">
        <v>0.9</v>
      </c>
      <c r="J21">
        <v>13.15</v>
      </c>
      <c r="M21">
        <v>0.9</v>
      </c>
      <c r="N21">
        <v>11.7</v>
      </c>
      <c r="Q21">
        <v>0.9</v>
      </c>
      <c r="R21">
        <v>11.9</v>
      </c>
      <c r="V21">
        <v>0.9</v>
      </c>
      <c r="W21">
        <f t="shared" si="2"/>
        <v>12.346</v>
      </c>
      <c r="X21">
        <f t="shared" si="0"/>
        <v>1.1366969692930484</v>
      </c>
      <c r="Z21" s="4">
        <v>0.85</v>
      </c>
      <c r="AA21" s="4">
        <v>10.233999999999998</v>
      </c>
      <c r="AB21" s="5">
        <v>1.0864989645646244</v>
      </c>
      <c r="AC21" s="5">
        <f t="shared" si="1"/>
        <v>0.95234083275400949</v>
      </c>
      <c r="AF21" s="8"/>
      <c r="AQ21">
        <v>3</v>
      </c>
      <c r="AR21" s="18">
        <v>0.03</v>
      </c>
      <c r="AS21" s="17">
        <v>53.4</v>
      </c>
      <c r="AT21">
        <f t="shared" si="3"/>
        <v>3.6056718433490884E-2</v>
      </c>
      <c r="BA21" s="21" t="s">
        <v>41</v>
      </c>
      <c r="BB21" s="39" t="s">
        <v>47</v>
      </c>
    </row>
    <row r="22" spans="1:54" ht="15.75" thickBot="1" x14ac:dyDescent="0.3">
      <c r="A22">
        <v>0.91</v>
      </c>
      <c r="B22">
        <v>13.95</v>
      </c>
      <c r="E22">
        <v>0.95</v>
      </c>
      <c r="F22">
        <v>13.45</v>
      </c>
      <c r="I22">
        <v>0.93</v>
      </c>
      <c r="J22">
        <v>13.95</v>
      </c>
      <c r="M22">
        <v>0.95</v>
      </c>
      <c r="N22">
        <v>13.95</v>
      </c>
      <c r="Q22">
        <v>0.95</v>
      </c>
      <c r="R22">
        <v>13.95</v>
      </c>
      <c r="Z22" s="6">
        <v>0.9</v>
      </c>
      <c r="AA22" s="6">
        <v>12.346</v>
      </c>
      <c r="AB22" s="7">
        <v>1.1366969692930484</v>
      </c>
      <c r="AC22" s="7">
        <f t="shared" si="1"/>
        <v>0.99634051539044299</v>
      </c>
      <c r="AQ22">
        <v>4</v>
      </c>
      <c r="AR22" s="18">
        <v>3.4000000000000002E-2</v>
      </c>
      <c r="AS22" s="17">
        <v>53.8</v>
      </c>
      <c r="AT22">
        <f t="shared" si="3"/>
        <v>3.6326806212018906E-2</v>
      </c>
      <c r="BA22" s="24">
        <v>295.23689569999999</v>
      </c>
      <c r="BB22" s="23">
        <v>5.7242175590000001E-3</v>
      </c>
    </row>
    <row r="23" spans="1:54" ht="39.75" thickBot="1" x14ac:dyDescent="0.3">
      <c r="E23">
        <v>0.97</v>
      </c>
      <c r="F23">
        <v>13.95</v>
      </c>
      <c r="AQ23">
        <v>5</v>
      </c>
      <c r="AR23" s="18">
        <v>2.7E-2</v>
      </c>
      <c r="AS23" s="17">
        <v>54.2</v>
      </c>
      <c r="AT23">
        <f t="shared" si="3"/>
        <v>3.6596893990546928E-2</v>
      </c>
      <c r="BA23" s="21" t="s">
        <v>42</v>
      </c>
      <c r="BB23" s="21" t="s">
        <v>43</v>
      </c>
    </row>
    <row r="24" spans="1:54" ht="15.75" thickBot="1" x14ac:dyDescent="0.3">
      <c r="AQ24">
        <v>6</v>
      </c>
      <c r="AR24" s="18">
        <v>2.5000000000000001E-2</v>
      </c>
      <c r="AS24" s="17">
        <v>54.6</v>
      </c>
      <c r="AT24">
        <f t="shared" si="3"/>
        <v>3.686698176907495E-2</v>
      </c>
      <c r="BA24" s="24">
        <v>211.19975220000001</v>
      </c>
      <c r="BB24" s="23">
        <v>4.0948585620000002E-3</v>
      </c>
    </row>
    <row r="25" spans="1:54" ht="15.75" thickBot="1" x14ac:dyDescent="0.3">
      <c r="AQ25">
        <v>7</v>
      </c>
      <c r="AR25" s="18">
        <v>2.5000000000000001E-2</v>
      </c>
      <c r="AS25" s="17">
        <v>55.1</v>
      </c>
      <c r="AT25">
        <f t="shared" si="3"/>
        <v>3.7204591492234977E-2</v>
      </c>
    </row>
    <row r="26" spans="1:54" ht="15.75" thickBot="1" x14ac:dyDescent="0.3">
      <c r="AQ26">
        <v>8</v>
      </c>
      <c r="AR26" s="18">
        <v>0.03</v>
      </c>
      <c r="AS26" s="17">
        <v>55.6</v>
      </c>
      <c r="AT26">
        <f t="shared" si="3"/>
        <v>3.7542201215395005E-2</v>
      </c>
    </row>
    <row r="27" spans="1:54" ht="15.75" thickBot="1" x14ac:dyDescent="0.3">
      <c r="AQ27">
        <v>9</v>
      </c>
      <c r="AR27" s="18">
        <v>0.03</v>
      </c>
      <c r="AS27" s="17">
        <v>56</v>
      </c>
      <c r="AT27">
        <f>AS27/1481</f>
        <v>3.7812288993923027E-2</v>
      </c>
    </row>
    <row r="28" spans="1:54" ht="15.75" thickBot="1" x14ac:dyDescent="0.3">
      <c r="AQ28">
        <v>10</v>
      </c>
      <c r="AR28" s="18">
        <v>4.3999999999999997E-2</v>
      </c>
      <c r="AS28" s="17">
        <v>56.4</v>
      </c>
      <c r="AT28">
        <f t="shared" si="3"/>
        <v>3.8082376772451049E-2</v>
      </c>
    </row>
    <row r="29" spans="1:54" x14ac:dyDescent="0.25">
      <c r="AS29" s="19">
        <v>56.8</v>
      </c>
      <c r="AT29">
        <f t="shared" si="3"/>
        <v>3.8352464550979064E-2</v>
      </c>
    </row>
    <row r="53" spans="16:41" x14ac:dyDescent="0.25">
      <c r="AO53" t="s">
        <v>35</v>
      </c>
    </row>
    <row r="54" spans="16:41" x14ac:dyDescent="0.25">
      <c r="T54" s="9" t="s">
        <v>22</v>
      </c>
      <c r="U54" s="9" t="s">
        <v>23</v>
      </c>
      <c r="V54" s="10" t="s">
        <v>24</v>
      </c>
      <c r="AO54" s="16">
        <v>0</v>
      </c>
    </row>
    <row r="55" spans="16:41" x14ac:dyDescent="0.25">
      <c r="P55" t="s">
        <v>18</v>
      </c>
      <c r="Q55" t="s">
        <v>19</v>
      </c>
      <c r="T55" s="11" t="s">
        <v>20</v>
      </c>
      <c r="U55" s="11">
        <v>8.5500000000000007</v>
      </c>
      <c r="V55" s="12" t="s">
        <v>29</v>
      </c>
      <c r="Y55" t="s">
        <v>1</v>
      </c>
      <c r="Z55" t="s">
        <v>19</v>
      </c>
      <c r="AO55" s="16">
        <v>0.18696864782181138</v>
      </c>
    </row>
    <row r="56" spans="16:41" x14ac:dyDescent="0.25">
      <c r="P56">
        <v>0</v>
      </c>
      <c r="Q56">
        <f>100*(0.43*(P56)^2)</f>
        <v>0</v>
      </c>
      <c r="T56" s="11" t="s">
        <v>21</v>
      </c>
      <c r="U56" s="11">
        <v>7.4999999999999997E-3</v>
      </c>
      <c r="V56" s="12" t="s">
        <v>28</v>
      </c>
      <c r="Y56">
        <v>0</v>
      </c>
      <c r="Z56">
        <f>W3-X3</f>
        <v>0</v>
      </c>
      <c r="AO56" s="16">
        <v>0.32653258800185025</v>
      </c>
    </row>
    <row r="57" spans="16:41" x14ac:dyDescent="0.25">
      <c r="P57">
        <v>0.01</v>
      </c>
      <c r="Q57">
        <f t="shared" ref="Q57:Q106" si="4">100*(0.43*(P57)^2)</f>
        <v>4.3E-3</v>
      </c>
      <c r="T57" s="11" t="s">
        <v>26</v>
      </c>
      <c r="U57" s="11">
        <v>3.3999999999999998E-3</v>
      </c>
      <c r="V57" s="12" t="s">
        <v>27</v>
      </c>
      <c r="Y57">
        <v>0.05</v>
      </c>
      <c r="Z57">
        <f t="shared" ref="Z57:Z65" si="5">W4-X4</f>
        <v>0</v>
      </c>
      <c r="AO57" s="16">
        <v>0.48505049936293482</v>
      </c>
    </row>
    <row r="58" spans="16:41" x14ac:dyDescent="0.25">
      <c r="P58">
        <v>0.02</v>
      </c>
      <c r="Q58">
        <f t="shared" si="4"/>
        <v>1.72E-2</v>
      </c>
      <c r="T58" s="11" t="s">
        <v>25</v>
      </c>
      <c r="U58" s="11">
        <v>5.0999999999999997E-2</v>
      </c>
      <c r="V58" s="12" t="s">
        <v>30</v>
      </c>
      <c r="Y58">
        <v>0.1</v>
      </c>
      <c r="Z58">
        <f t="shared" si="5"/>
        <v>0</v>
      </c>
      <c r="AO58" s="16">
        <v>0.61996235437785152</v>
      </c>
    </row>
    <row r="59" spans="16:41" x14ac:dyDescent="0.25">
      <c r="P59">
        <v>0.03</v>
      </c>
      <c r="Q59">
        <f t="shared" si="4"/>
        <v>3.8699999999999998E-2</v>
      </c>
      <c r="T59" s="13" t="s">
        <v>31</v>
      </c>
      <c r="U59" s="13">
        <v>3.3E-3</v>
      </c>
      <c r="V59" s="14" t="s">
        <v>32</v>
      </c>
      <c r="Y59">
        <v>0.15</v>
      </c>
      <c r="Z59">
        <f t="shared" si="5"/>
        <v>0</v>
      </c>
      <c r="AO59" s="16">
        <v>0.68546640632082323</v>
      </c>
    </row>
    <row r="60" spans="16:41" x14ac:dyDescent="0.25">
      <c r="P60">
        <v>0.04</v>
      </c>
      <c r="Q60">
        <f t="shared" si="4"/>
        <v>6.88E-2</v>
      </c>
      <c r="T60" s="1"/>
      <c r="U60" s="1"/>
      <c r="V60" s="1"/>
      <c r="Y60">
        <v>0.2</v>
      </c>
      <c r="Z60">
        <f t="shared" si="5"/>
        <v>0</v>
      </c>
      <c r="AO60" s="16">
        <v>0.77135477628781945</v>
      </c>
    </row>
    <row r="61" spans="16:41" x14ac:dyDescent="0.25">
      <c r="P61">
        <v>0.05</v>
      </c>
      <c r="Q61">
        <f t="shared" si="4"/>
        <v>0.10750000000000003</v>
      </c>
      <c r="T61" s="1"/>
      <c r="U61" s="1"/>
      <c r="V61" s="1"/>
      <c r="Y61">
        <v>0.25</v>
      </c>
      <c r="Z61">
        <f t="shared" si="5"/>
        <v>0</v>
      </c>
      <c r="AO61" s="16">
        <v>0.85330718596955624</v>
      </c>
    </row>
    <row r="62" spans="16:41" x14ac:dyDescent="0.25">
      <c r="P62">
        <v>0.06</v>
      </c>
      <c r="Q62">
        <f t="shared" si="4"/>
        <v>0.15479999999999999</v>
      </c>
      <c r="T62" s="1"/>
      <c r="U62" s="1"/>
      <c r="V62" s="1"/>
      <c r="Y62">
        <v>0.3</v>
      </c>
      <c r="Z62">
        <f t="shared" si="5"/>
        <v>0</v>
      </c>
      <c r="AO62" s="16">
        <v>0.95234083275400949</v>
      </c>
    </row>
    <row r="63" spans="16:41" x14ac:dyDescent="0.25">
      <c r="P63">
        <v>7.0000000000000007E-2</v>
      </c>
      <c r="Q63">
        <f t="shared" si="4"/>
        <v>0.21070000000000003</v>
      </c>
      <c r="T63" s="1"/>
      <c r="U63" s="1"/>
      <c r="V63" s="1"/>
      <c r="Y63">
        <v>0.35</v>
      </c>
      <c r="Z63">
        <f t="shared" si="5"/>
        <v>0</v>
      </c>
      <c r="AO63" s="16">
        <v>0.99634051539044299</v>
      </c>
    </row>
    <row r="64" spans="16:41" x14ac:dyDescent="0.25">
      <c r="P64">
        <v>0.08</v>
      </c>
      <c r="Q64">
        <f t="shared" si="4"/>
        <v>0.2752</v>
      </c>
      <c r="Y64">
        <v>0.4</v>
      </c>
      <c r="Z64">
        <f t="shared" si="5"/>
        <v>0</v>
      </c>
    </row>
    <row r="65" spans="16:26" x14ac:dyDescent="0.25">
      <c r="P65">
        <v>0.09</v>
      </c>
      <c r="Q65">
        <f t="shared" si="4"/>
        <v>0.34829999999999994</v>
      </c>
      <c r="Y65">
        <v>0.45</v>
      </c>
      <c r="Z65">
        <f t="shared" si="5"/>
        <v>0</v>
      </c>
    </row>
    <row r="66" spans="16:26" x14ac:dyDescent="0.25">
      <c r="P66">
        <v>0.1</v>
      </c>
      <c r="Q66">
        <f t="shared" si="4"/>
        <v>0.4300000000000001</v>
      </c>
      <c r="Y66">
        <v>0.5</v>
      </c>
      <c r="Z66" s="16">
        <f>W13-AO55</f>
        <v>2.3031352178188635E-2</v>
      </c>
    </row>
    <row r="67" spans="16:26" x14ac:dyDescent="0.25">
      <c r="P67">
        <v>0.11</v>
      </c>
      <c r="Q67">
        <f t="shared" si="4"/>
        <v>0.52029999999999998</v>
      </c>
      <c r="Y67">
        <v>0.55000000000000004</v>
      </c>
      <c r="Z67" s="16">
        <f t="shared" ref="Z67:Z74" si="6">W14-AO56</f>
        <v>0.35596741199814974</v>
      </c>
    </row>
    <row r="68" spans="16:26" x14ac:dyDescent="0.25">
      <c r="P68">
        <v>0.12</v>
      </c>
      <c r="Q68">
        <f t="shared" si="4"/>
        <v>0.61919999999999997</v>
      </c>
      <c r="Y68">
        <v>0.6</v>
      </c>
      <c r="Z68" s="16">
        <f t="shared" si="6"/>
        <v>1.0149495006370652</v>
      </c>
    </row>
    <row r="69" spans="16:26" x14ac:dyDescent="0.25">
      <c r="P69">
        <v>0.13</v>
      </c>
      <c r="Q69">
        <f t="shared" si="4"/>
        <v>0.72670000000000012</v>
      </c>
      <c r="Y69">
        <v>0.65</v>
      </c>
      <c r="Z69" s="16">
        <f t="shared" si="6"/>
        <v>2.4320376456221489</v>
      </c>
    </row>
    <row r="70" spans="16:26" x14ac:dyDescent="0.25">
      <c r="P70">
        <v>0.14000000000000001</v>
      </c>
      <c r="Q70">
        <f t="shared" si="4"/>
        <v>0.8428000000000001</v>
      </c>
      <c r="Y70">
        <v>0.7</v>
      </c>
      <c r="Z70" s="16">
        <f t="shared" si="6"/>
        <v>3.9065335936791765</v>
      </c>
    </row>
    <row r="71" spans="16:26" x14ac:dyDescent="0.25">
      <c r="P71">
        <v>0.15</v>
      </c>
      <c r="Q71">
        <f t="shared" si="4"/>
        <v>0.96749999999999992</v>
      </c>
      <c r="Y71">
        <v>0.75</v>
      </c>
      <c r="Z71" s="16">
        <f t="shared" si="6"/>
        <v>5.57264522371218</v>
      </c>
    </row>
    <row r="72" spans="16:26" x14ac:dyDescent="0.25">
      <c r="P72">
        <v>0.16</v>
      </c>
      <c r="Q72">
        <f t="shared" si="4"/>
        <v>1.1008</v>
      </c>
      <c r="Y72">
        <v>0.8</v>
      </c>
      <c r="Z72" s="16">
        <f t="shared" si="6"/>
        <v>7.3326928140304455</v>
      </c>
    </row>
    <row r="73" spans="16:26" x14ac:dyDescent="0.25">
      <c r="P73">
        <v>0.17</v>
      </c>
      <c r="Q73">
        <f t="shared" si="4"/>
        <v>1.2427000000000001</v>
      </c>
      <c r="Y73">
        <v>0.85</v>
      </c>
      <c r="Z73" s="16">
        <f t="shared" si="6"/>
        <v>9.2816591672459889</v>
      </c>
    </row>
    <row r="74" spans="16:26" x14ac:dyDescent="0.25">
      <c r="P74">
        <v>0.18</v>
      </c>
      <c r="Q74">
        <f t="shared" si="4"/>
        <v>1.3931999999999998</v>
      </c>
      <c r="Y74">
        <v>0.9</v>
      </c>
      <c r="Z74" s="16">
        <f t="shared" si="6"/>
        <v>11.349659484609557</v>
      </c>
    </row>
    <row r="75" spans="16:26" x14ac:dyDescent="0.25">
      <c r="P75">
        <v>0.19</v>
      </c>
      <c r="Q75">
        <f t="shared" si="4"/>
        <v>1.5523</v>
      </c>
    </row>
    <row r="76" spans="16:26" x14ac:dyDescent="0.25">
      <c r="P76">
        <v>0.2</v>
      </c>
      <c r="Q76">
        <f t="shared" si="4"/>
        <v>1.7200000000000004</v>
      </c>
      <c r="Y76" t="s">
        <v>7</v>
      </c>
      <c r="Z76" t="s">
        <v>19</v>
      </c>
    </row>
    <row r="77" spans="16:26" x14ac:dyDescent="0.25">
      <c r="P77">
        <v>0.21</v>
      </c>
      <c r="Q77">
        <f t="shared" si="4"/>
        <v>1.8962999999999997</v>
      </c>
      <c r="Y77">
        <v>0</v>
      </c>
      <c r="Z77">
        <f>W3+X3</f>
        <v>0</v>
      </c>
    </row>
    <row r="78" spans="16:26" x14ac:dyDescent="0.25">
      <c r="P78">
        <v>0.22</v>
      </c>
      <c r="Q78">
        <f t="shared" si="4"/>
        <v>2.0811999999999999</v>
      </c>
      <c r="Y78">
        <v>0.05</v>
      </c>
      <c r="Z78">
        <f t="shared" ref="Z78:Z86" si="7">W4+X4</f>
        <v>0</v>
      </c>
    </row>
    <row r="79" spans="16:26" x14ac:dyDescent="0.25">
      <c r="P79">
        <v>0.23</v>
      </c>
      <c r="Q79">
        <f t="shared" si="4"/>
        <v>2.2747000000000002</v>
      </c>
      <c r="Y79">
        <v>0.1</v>
      </c>
      <c r="Z79">
        <f t="shared" si="7"/>
        <v>0</v>
      </c>
    </row>
    <row r="80" spans="16:26" x14ac:dyDescent="0.25">
      <c r="P80">
        <v>0.24</v>
      </c>
      <c r="Q80">
        <f t="shared" si="4"/>
        <v>2.4767999999999999</v>
      </c>
      <c r="Y80">
        <v>0.15</v>
      </c>
      <c r="Z80">
        <f t="shared" si="7"/>
        <v>0</v>
      </c>
    </row>
    <row r="81" spans="16:26" x14ac:dyDescent="0.25">
      <c r="P81">
        <v>0.25</v>
      </c>
      <c r="Q81">
        <f t="shared" si="4"/>
        <v>2.6875</v>
      </c>
      <c r="Y81">
        <v>0.2</v>
      </c>
      <c r="Z81">
        <f t="shared" si="7"/>
        <v>0</v>
      </c>
    </row>
    <row r="82" spans="16:26" x14ac:dyDescent="0.25">
      <c r="P82">
        <v>0.26</v>
      </c>
      <c r="Q82">
        <f t="shared" si="4"/>
        <v>2.9068000000000005</v>
      </c>
      <c r="Y82">
        <v>0.25</v>
      </c>
      <c r="Z82">
        <f t="shared" si="7"/>
        <v>0</v>
      </c>
    </row>
    <row r="83" spans="16:26" x14ac:dyDescent="0.25">
      <c r="P83">
        <v>0.27</v>
      </c>
      <c r="Q83">
        <f t="shared" si="4"/>
        <v>3.1347</v>
      </c>
      <c r="Y83">
        <v>0.3</v>
      </c>
      <c r="Z83">
        <f t="shared" si="7"/>
        <v>0</v>
      </c>
    </row>
    <row r="84" spans="16:26" x14ac:dyDescent="0.25">
      <c r="P84">
        <v>0.28000000000000003</v>
      </c>
      <c r="Q84">
        <f t="shared" si="4"/>
        <v>3.3712000000000004</v>
      </c>
      <c r="Y84">
        <v>0.35</v>
      </c>
      <c r="Z84">
        <f t="shared" si="7"/>
        <v>0</v>
      </c>
    </row>
    <row r="85" spans="16:26" x14ac:dyDescent="0.25">
      <c r="P85">
        <v>0.28999999999999998</v>
      </c>
      <c r="Q85">
        <f t="shared" si="4"/>
        <v>3.6162999999999994</v>
      </c>
      <c r="Y85">
        <v>0.4</v>
      </c>
      <c r="Z85">
        <f t="shared" si="7"/>
        <v>0</v>
      </c>
    </row>
    <row r="86" spans="16:26" x14ac:dyDescent="0.25">
      <c r="P86">
        <v>0.3</v>
      </c>
      <c r="Q86">
        <f t="shared" si="4"/>
        <v>3.8699999999999997</v>
      </c>
      <c r="Y86">
        <v>0.45</v>
      </c>
      <c r="Z86">
        <f t="shared" si="7"/>
        <v>0</v>
      </c>
    </row>
    <row r="87" spans="16:26" x14ac:dyDescent="0.25">
      <c r="P87">
        <v>0.31</v>
      </c>
      <c r="Q87">
        <f t="shared" si="4"/>
        <v>4.1322999999999999</v>
      </c>
      <c r="Y87">
        <v>0.5</v>
      </c>
      <c r="Z87" s="16">
        <f>W13+AO55</f>
        <v>0.3969686478218114</v>
      </c>
    </row>
    <row r="88" spans="16:26" x14ac:dyDescent="0.25">
      <c r="P88">
        <v>0.32</v>
      </c>
      <c r="Q88">
        <f t="shared" si="4"/>
        <v>4.4032</v>
      </c>
      <c r="Y88">
        <v>0.55000000000000004</v>
      </c>
      <c r="Z88" s="16">
        <f t="shared" ref="Z88:Z95" si="8">W14+AO56</f>
        <v>1.0090325880018503</v>
      </c>
    </row>
    <row r="89" spans="16:26" x14ac:dyDescent="0.25">
      <c r="P89">
        <v>0.33</v>
      </c>
      <c r="Q89">
        <f t="shared" si="4"/>
        <v>4.6826999999999996</v>
      </c>
      <c r="Y89">
        <v>0.6</v>
      </c>
      <c r="Z89" s="16">
        <f t="shared" si="8"/>
        <v>1.9850504993629348</v>
      </c>
    </row>
    <row r="90" spans="16:26" x14ac:dyDescent="0.25">
      <c r="P90">
        <v>0.34</v>
      </c>
      <c r="Q90">
        <f t="shared" si="4"/>
        <v>4.9708000000000006</v>
      </c>
      <c r="Y90">
        <v>0.65</v>
      </c>
      <c r="Z90" s="16">
        <f t="shared" si="8"/>
        <v>3.6719623543778521</v>
      </c>
    </row>
    <row r="91" spans="16:26" x14ac:dyDescent="0.25">
      <c r="P91">
        <v>0.35</v>
      </c>
      <c r="Q91">
        <f t="shared" si="4"/>
        <v>5.2674999999999992</v>
      </c>
      <c r="Y91">
        <v>0.7</v>
      </c>
      <c r="Z91" s="16">
        <f t="shared" si="8"/>
        <v>5.2774664063208228</v>
      </c>
    </row>
    <row r="92" spans="16:26" x14ac:dyDescent="0.25">
      <c r="P92">
        <v>0.36</v>
      </c>
      <c r="Q92">
        <f t="shared" si="4"/>
        <v>5.5727999999999991</v>
      </c>
      <c r="Y92">
        <v>0.75</v>
      </c>
      <c r="Z92" s="16">
        <f t="shared" si="8"/>
        <v>7.1153547762878189</v>
      </c>
    </row>
    <row r="93" spans="16:26" x14ac:dyDescent="0.25">
      <c r="P93">
        <v>0.37</v>
      </c>
      <c r="Q93">
        <f t="shared" si="4"/>
        <v>5.8866999999999994</v>
      </c>
      <c r="Y93">
        <v>0.8</v>
      </c>
      <c r="Z93" s="16">
        <f t="shared" si="8"/>
        <v>9.0393071859695588</v>
      </c>
    </row>
    <row r="94" spans="16:26" x14ac:dyDescent="0.25">
      <c r="P94">
        <v>0.38</v>
      </c>
      <c r="Q94">
        <f t="shared" si="4"/>
        <v>6.2092000000000001</v>
      </c>
      <c r="Y94">
        <v>0.85</v>
      </c>
      <c r="Z94" s="16">
        <f t="shared" si="8"/>
        <v>11.186340832754007</v>
      </c>
    </row>
    <row r="95" spans="16:26" x14ac:dyDescent="0.25">
      <c r="P95">
        <v>0.39</v>
      </c>
      <c r="Q95">
        <f t="shared" si="4"/>
        <v>6.5403000000000002</v>
      </c>
      <c r="Y95">
        <v>0.9</v>
      </c>
      <c r="Z95" s="16">
        <f t="shared" si="8"/>
        <v>13.342340515390443</v>
      </c>
    </row>
    <row r="96" spans="16:26" x14ac:dyDescent="0.25">
      <c r="P96">
        <v>0.4</v>
      </c>
      <c r="Q96">
        <f t="shared" si="4"/>
        <v>6.8800000000000017</v>
      </c>
    </row>
    <row r="97" spans="16:17" x14ac:dyDescent="0.25">
      <c r="P97">
        <v>0.41</v>
      </c>
      <c r="Q97">
        <f t="shared" si="4"/>
        <v>7.2282999999999991</v>
      </c>
    </row>
    <row r="98" spans="16:17" x14ac:dyDescent="0.25">
      <c r="P98">
        <v>0.42</v>
      </c>
      <c r="Q98">
        <f t="shared" si="4"/>
        <v>7.5851999999999986</v>
      </c>
    </row>
    <row r="99" spans="16:17" x14ac:dyDescent="0.25">
      <c r="P99">
        <v>0.43</v>
      </c>
      <c r="Q99">
        <f t="shared" si="4"/>
        <v>7.9506999999999994</v>
      </c>
    </row>
    <row r="100" spans="16:17" x14ac:dyDescent="0.25">
      <c r="P100">
        <v>0.44</v>
      </c>
      <c r="Q100">
        <f t="shared" si="4"/>
        <v>8.3247999999999998</v>
      </c>
    </row>
    <row r="101" spans="16:17" x14ac:dyDescent="0.25">
      <c r="P101">
        <v>0.45</v>
      </c>
      <c r="Q101">
        <f t="shared" si="4"/>
        <v>8.7074999999999996</v>
      </c>
    </row>
    <row r="102" spans="16:17" x14ac:dyDescent="0.25">
      <c r="P102">
        <v>0.46</v>
      </c>
      <c r="Q102">
        <f t="shared" si="4"/>
        <v>9.0988000000000007</v>
      </c>
    </row>
    <row r="103" spans="16:17" x14ac:dyDescent="0.25">
      <c r="P103">
        <v>0.47</v>
      </c>
      <c r="Q103">
        <f t="shared" si="4"/>
        <v>9.4986999999999995</v>
      </c>
    </row>
    <row r="104" spans="16:17" x14ac:dyDescent="0.25">
      <c r="P104">
        <v>0.48</v>
      </c>
      <c r="Q104">
        <f t="shared" si="4"/>
        <v>9.9071999999999996</v>
      </c>
    </row>
    <row r="105" spans="16:17" x14ac:dyDescent="0.25">
      <c r="P105">
        <v>0.49</v>
      </c>
      <c r="Q105">
        <f t="shared" si="4"/>
        <v>10.324299999999999</v>
      </c>
    </row>
    <row r="106" spans="16:17" x14ac:dyDescent="0.25">
      <c r="P106">
        <v>0.5</v>
      </c>
      <c r="Q106">
        <f t="shared" si="4"/>
        <v>10.75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Maximo Jimenez</dc:creator>
  <cp:lastModifiedBy>Maximo Jimenez</cp:lastModifiedBy>
  <dcterms:created xsi:type="dcterms:W3CDTF">2026-03-13T19:51:14Z</dcterms:created>
  <dcterms:modified xsi:type="dcterms:W3CDTF">2026-05-01T23:41:51Z</dcterms:modified>
</cp:coreProperties>
</file>